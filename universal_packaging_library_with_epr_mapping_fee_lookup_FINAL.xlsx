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Taxonomy" sheetId="2" state="visible" r:id="rId2"/>
    <sheet xmlns:r="http://schemas.openxmlformats.org/officeDocument/2006/relationships" name="Packaging_Library" sheetId="3" state="visible" r:id="rId3"/>
    <sheet xmlns:r="http://schemas.openxmlformats.org/officeDocument/2006/relationships" name="Materials_Breakdown" sheetId="4" state="visible" r:id="rId4"/>
    <sheet xmlns:r="http://schemas.openxmlformats.org/officeDocument/2006/relationships" name="EPR_Mapping" sheetId="5" state="visible" r:id="rId5"/>
    <sheet xmlns:r="http://schemas.openxmlformats.org/officeDocument/2006/relationships" name="Fee_Rates" sheetId="6" state="visible" r:id="rId6"/>
  </sheets>
  <definedNames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"/>
    <numFmt numFmtId="166" formatCode="£#,##0.0000"/>
    <numFmt numFmtId="167" formatCode="€#,##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Universal Packaging Library (baseline)</t>
        </is>
      </c>
    </row>
    <row r="2">
      <c r="A2" t="inlineStr">
        <is>
          <t>Generated: 2025-12-21</t>
        </is>
      </c>
    </row>
    <row r="4">
      <c r="A4" t="inlineStr">
        <is>
          <t>Purpose:</t>
        </is>
      </c>
    </row>
    <row r="5">
      <c r="A5" t="inlineStr">
        <is>
          <t>- A standards-aligned, generic library of common packaging formats (primary, secondary, tertiary, POS).</t>
        </is>
      </c>
    </row>
    <row r="6">
      <c r="A6" t="inlineStr">
        <is>
          <t>- Each item includes a bill-of-materials (BOM) that references ERP Packaging Material Taxonomy TaxonIDs.</t>
        </is>
      </c>
    </row>
    <row r="8">
      <c r="A8" t="inlineStr">
        <is>
          <t>Important notes:</t>
        </is>
      </c>
    </row>
    <row r="9">
      <c r="A9" t="inlineStr">
        <is>
          <t>- Weights marked 'Estimate' are baseline starting points; replace with measured/SKU-specific weights as needed.</t>
        </is>
      </c>
    </row>
    <row r="10">
      <c r="A10" t="inlineStr">
        <is>
          <t>- Some packs are composites; where your ERP rules require scheme-specific classification, use the Materials_Breakdown sheet to roll-up by country rules.</t>
        </is>
      </c>
    </row>
    <row r="11">
      <c r="A11" t="inlineStr">
        <is>
          <t>- Source URLs provide examples that informed baseline dimensions/weights; this sheet is NOT intended to reproduce any supplier’s full catalogue.</t>
        </is>
      </c>
    </row>
    <row r="13">
      <c r="A13" t="inlineStr">
        <is>
          <t>How to use:</t>
        </is>
      </c>
    </row>
    <row r="14">
      <c r="A14" t="inlineStr">
        <is>
          <t>1) Select a Packaging item in Packaging_Library.</t>
        </is>
      </c>
    </row>
    <row r="15">
      <c r="A15" t="inlineStr">
        <is>
          <t>2) Use Materials_Breakdown to see all component materials with TaxonIDs + weights.</t>
        </is>
      </c>
    </row>
    <row r="16">
      <c r="A16" t="inlineStr">
        <is>
          <t>3) Map Packaging_Library.PackID to your customer SKUs / packaging specs.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40" customWidth="1" min="3" max="3"/>
    <col width="55" customWidth="1" min="4" max="4"/>
    <col width="22" customWidth="1" min="5" max="5"/>
    <col width="18" customWidth="1" min="6" max="6"/>
  </cols>
  <sheetData>
    <row r="1">
      <c r="A1" s="1" t="inlineStr">
        <is>
          <t>TaxonID</t>
        </is>
      </c>
      <c r="B1" s="1" t="inlineStr">
        <is>
          <t>Path</t>
        </is>
      </c>
      <c r="C1" s="1" t="inlineStr">
        <is>
          <t>DisplayName</t>
        </is>
      </c>
      <c r="D1" s="1" t="inlineStr">
        <is>
          <t>Definition</t>
        </is>
      </c>
      <c r="E1" s="1" t="inlineStr">
        <is>
          <t>StandardSystem</t>
        </is>
      </c>
      <c r="F1" s="1" t="inlineStr">
        <is>
          <t>StandardCode</t>
        </is>
      </c>
    </row>
    <row r="2">
      <c r="A2" s="2" t="inlineStr">
        <is>
          <t>CO</t>
        </is>
      </c>
      <c r="B2" s="2" t="inlineStr">
        <is>
          <t>Composites &amp; Multimaterial</t>
        </is>
      </c>
      <c r="C2" s="2" t="inlineStr">
        <is>
          <t>Composites &amp; Multimaterial</t>
        </is>
      </c>
      <c r="D2" s="2" t="inlineStr">
        <is>
          <t>Packaging made from multiple materials that cannot be easily separated (e.g., beverage cartons, laminates).</t>
        </is>
      </c>
      <c r="E2" s="2" t="inlineStr">
        <is>
          <t>EU 97/129/EC</t>
        </is>
      </c>
      <c r="F2" s="2" t="inlineStr">
        <is>
          <t>C/* 80–99</t>
        </is>
      </c>
    </row>
    <row r="3">
      <c r="A3" s="2" t="inlineStr">
        <is>
          <t>CO.BEVERAGE_CARTON</t>
        </is>
      </c>
      <c r="B3" s="2" t="inlineStr">
        <is>
          <t>Composites &amp; Multimaterial &gt; Beverage cartons</t>
        </is>
      </c>
      <c r="C3" s="2" t="inlineStr">
        <is>
          <t>Beverage cartons</t>
        </is>
      </c>
      <c r="D3" s="2" t="inlineStr">
        <is>
          <t>Laminated carton (paper-cardboard with plastic and/or aluminium) typically used for liquids.</t>
        </is>
      </c>
      <c r="E3" s="2" t="inlineStr">
        <is>
          <t>EU 97/129/EC; Fost Plus</t>
        </is>
      </c>
      <c r="F3" s="2" t="inlineStr">
        <is>
          <t>C/PAP 84; 008</t>
        </is>
      </c>
    </row>
    <row r="4">
      <c r="A4" s="2" t="inlineStr">
        <is>
          <t>CO.FIBRE_COMP</t>
        </is>
      </c>
      <c r="B4" s="2" t="inlineStr">
        <is>
          <t>Composites &amp; Multimaterial &gt; Fibre-based composite</t>
        </is>
      </c>
      <c r="C4" s="2" t="inlineStr">
        <is>
          <t>Fibre-based composite</t>
        </is>
      </c>
      <c r="D4" s="2" t="inlineStr">
        <is>
          <t>Fibre-based composite packaging (scheme-level category).</t>
        </is>
      </c>
      <c r="E4" s="2" t="inlineStr">
        <is>
          <t>UK PackUK</t>
        </is>
      </c>
      <c r="F4" s="2" t="inlineStr">
        <is>
          <t>Fibre-based composite</t>
        </is>
      </c>
    </row>
    <row r="5">
      <c r="A5" s="2" t="inlineStr">
        <is>
          <t>CO.GLASS_MAJOR</t>
        </is>
      </c>
      <c r="B5" s="2" t="inlineStr">
        <is>
          <t>Composites &amp; Multimaterial &gt; Composite (glass greatest weight)</t>
        </is>
      </c>
      <c r="C5" s="2" t="inlineStr">
        <is>
          <t>Composite (glass greatest weight)</t>
        </is>
      </c>
      <c r="D5" s="2" t="inlineStr">
        <is>
          <t>Composite packaging where glass accounts for greatest weight.</t>
        </is>
      </c>
      <c r="E5" s="2" t="inlineStr">
        <is>
          <t>Fost Plus</t>
        </is>
      </c>
      <c r="F5" s="2" t="inlineStr">
        <is>
          <t>017</t>
        </is>
      </c>
    </row>
    <row r="6">
      <c r="A6" s="2" t="inlineStr">
        <is>
          <t>CO.PAPER_MAJOR</t>
        </is>
      </c>
      <c r="B6" s="2" t="inlineStr">
        <is>
          <t>Composites &amp; Multimaterial &gt; Composite (paper-cardboard greatest weight)</t>
        </is>
      </c>
      <c r="C6" s="2" t="inlineStr">
        <is>
          <t>Composite (paper-cardboard greatest weight)</t>
        </is>
      </c>
      <c r="D6" s="2" t="inlineStr">
        <is>
          <t>Composite packaging where paper-cardboard accounts for greatest weight (&lt;85% fibre or not recyclable per CEPI protocol).</t>
        </is>
      </c>
      <c r="E6" s="2" t="inlineStr">
        <is>
          <t>Fost Plus</t>
        </is>
      </c>
      <c r="F6" s="2" t="inlineStr">
        <is>
          <t>012</t>
        </is>
      </c>
    </row>
    <row r="7">
      <c r="A7" s="2" t="inlineStr">
        <is>
          <t>CO.STEEL_MAJOR</t>
        </is>
      </c>
      <c r="B7" s="2" t="inlineStr">
        <is>
          <t>Composites &amp; Multimaterial &gt; Composite (steel greatest weight)</t>
        </is>
      </c>
      <c r="C7" s="2" t="inlineStr">
        <is>
          <t>Composite (steel greatest weight)</t>
        </is>
      </c>
      <c r="D7" s="2" t="inlineStr">
        <is>
          <t>Composite packaging where steel accounts for greatest weight.</t>
        </is>
      </c>
      <c r="E7" s="2" t="inlineStr">
        <is>
          <t>Fost Plus</t>
        </is>
      </c>
      <c r="F7" s="2" t="inlineStr">
        <is>
          <t>018</t>
        </is>
      </c>
    </row>
    <row r="8">
      <c r="A8" s="2" t="inlineStr">
        <is>
          <t>GL</t>
        </is>
      </c>
      <c r="B8" s="2" t="inlineStr">
        <is>
          <t>Glass</t>
        </is>
      </c>
      <c r="C8" s="2" t="inlineStr">
        <is>
          <t>Glass</t>
        </is>
      </c>
      <c r="D8" s="2" t="inlineStr">
        <is>
          <t>Glass packaging materials.</t>
        </is>
      </c>
      <c r="E8" s="2" t="inlineStr">
        <is>
          <t>EU 97/129/EC</t>
        </is>
      </c>
      <c r="F8" s="2" t="inlineStr">
        <is>
          <t>GL 70–72</t>
        </is>
      </c>
    </row>
    <row r="9">
      <c r="A9" s="2" t="inlineStr">
        <is>
          <t>GL.BOTTLES_JARS</t>
        </is>
      </c>
      <c r="B9" s="2" t="inlineStr">
        <is>
          <t>Glass &gt; Glass bottles, flasks &amp; jars</t>
        </is>
      </c>
      <c r="C9" s="2" t="inlineStr">
        <is>
          <t>Glass bottles, flasks &amp; jars</t>
        </is>
      </c>
      <c r="D9" s="2" t="inlineStr">
        <is>
          <t>Bottles, flasks and jars in glass (excluding special glass types as defined by schemes).</t>
        </is>
      </c>
      <c r="E9" s="2" t="inlineStr">
        <is>
          <t>Fost Plus</t>
        </is>
      </c>
      <c r="F9" s="2" t="inlineStr">
        <is>
          <t>001</t>
        </is>
      </c>
    </row>
    <row r="10">
      <c r="A10" s="2" t="inlineStr">
        <is>
          <t>GL.REC_COMP</t>
        </is>
      </c>
      <c r="B10" s="2" t="inlineStr">
        <is>
          <t>Glass &gt; Glass packaging — compatible with material recycling</t>
        </is>
      </c>
      <c r="C10" s="2" t="inlineStr">
        <is>
          <t>Glass packaging — compatible with material recycling</t>
        </is>
      </c>
      <c r="D10" s="2" t="inlineStr">
        <is>
          <t>Glass packaging compatible with material recycling.</t>
        </is>
      </c>
      <c r="E10" s="2" t="inlineStr">
        <is>
          <t>NPA Sweden</t>
        </is>
      </c>
      <c r="F10" s="2" t="inlineStr">
        <is>
          <t>6110/6210</t>
        </is>
      </c>
    </row>
    <row r="11">
      <c r="A11" s="2" t="inlineStr">
        <is>
          <t>ME</t>
        </is>
      </c>
      <c r="B11" s="2" t="inlineStr">
        <is>
          <t>Metals</t>
        </is>
      </c>
      <c r="C11" s="2" t="inlineStr">
        <is>
          <t>Metals</t>
        </is>
      </c>
      <c r="D11" s="2" t="inlineStr">
        <is>
          <t>Metal packaging materials.</t>
        </is>
      </c>
      <c r="E11" s="2" t="inlineStr">
        <is>
          <t>EU 97/129/EC</t>
        </is>
      </c>
      <c r="F11" s="2" t="inlineStr">
        <is>
          <t>FE 40; ALU 41</t>
        </is>
      </c>
    </row>
    <row r="12">
      <c r="A12" s="2" t="inlineStr">
        <is>
          <t>ME.ALU</t>
        </is>
      </c>
      <c r="B12" s="2" t="inlineStr">
        <is>
          <t>Metals &gt; Aluminium</t>
        </is>
      </c>
      <c r="C12" s="2" t="inlineStr">
        <is>
          <t>Aluminium</t>
        </is>
      </c>
      <c r="D12" s="2" t="inlineStr">
        <is>
          <t>Aluminium packaging.</t>
        </is>
      </c>
      <c r="E12" s="2" t="inlineStr">
        <is>
          <t>EU 97/129/EC</t>
        </is>
      </c>
      <c r="F12" s="2" t="inlineStr">
        <is>
          <t>ALU 41</t>
        </is>
      </c>
    </row>
    <row r="13">
      <c r="A13" s="2" t="inlineStr">
        <is>
          <t>ME.OTHER</t>
        </is>
      </c>
      <c r="B13" s="2" t="inlineStr">
        <is>
          <t>Metals &gt; Other metals (non-ferrous, not aluminium)</t>
        </is>
      </c>
      <c r="C13" s="2" t="inlineStr">
        <is>
          <t>Other metals (non-ferrous, not aluminium)</t>
        </is>
      </c>
      <c r="D13" s="2" t="inlineStr">
        <is>
          <t>Metals other than steel or aluminium.</t>
        </is>
      </c>
      <c r="E13" s="2" t="inlineStr"/>
      <c r="F13" s="2" t="inlineStr"/>
    </row>
    <row r="14">
      <c r="A14" s="2" t="inlineStr">
        <is>
          <t>ME.REC_COMP</t>
        </is>
      </c>
      <c r="B14" s="2" t="inlineStr">
        <is>
          <t>Metals &gt; Metal packaging — compatible with material recycling</t>
        </is>
      </c>
      <c r="C14" s="2" t="inlineStr">
        <is>
          <t>Metal packaging — compatible with material recycling</t>
        </is>
      </c>
      <c r="D14" s="2" t="inlineStr">
        <is>
          <t>Packaging compatible with material recycling (scheme-specific).</t>
        </is>
      </c>
      <c r="E14" s="2" t="inlineStr">
        <is>
          <t>NPA Sweden</t>
        </is>
      </c>
      <c r="F14" s="2" t="inlineStr">
        <is>
          <t>5110/5120/5210/5220</t>
        </is>
      </c>
    </row>
    <row r="15">
      <c r="A15" s="2" t="inlineStr">
        <is>
          <t>ME.STEEL</t>
        </is>
      </c>
      <c r="B15" s="2" t="inlineStr">
        <is>
          <t>Metals &gt; Steel / ferrous metal</t>
        </is>
      </c>
      <c r="C15" s="2" t="inlineStr">
        <is>
          <t>Steel / ferrous metal</t>
        </is>
      </c>
      <c r="D15" s="2" t="inlineStr">
        <is>
          <t>Packaging elements containing ≥50% steel, or ferrous metal packaging.</t>
        </is>
      </c>
      <c r="E15" s="2" t="inlineStr">
        <is>
          <t>EU 97/129/EC; Fost Plus</t>
        </is>
      </c>
      <c r="F15" s="2" t="inlineStr">
        <is>
          <t>FE 40; 003</t>
        </is>
      </c>
    </row>
    <row r="16">
      <c r="A16" s="2" t="inlineStr">
        <is>
          <t>ME.ALU.THICK</t>
        </is>
      </c>
      <c r="B16" s="2" t="inlineStr">
        <is>
          <t>Metals &gt; Aluminium &gt; Aluminium (≥50 μm)</t>
        </is>
      </c>
      <c r="C16" s="2" t="inlineStr">
        <is>
          <t>Aluminium (≥50 μm)</t>
        </is>
      </c>
      <c r="D16" s="2" t="inlineStr">
        <is>
          <t>Aluminium packaging elements with thickness ≥50 μm.</t>
        </is>
      </c>
      <c r="E16" s="2" t="inlineStr">
        <is>
          <t>Fost Plus</t>
        </is>
      </c>
      <c r="F16" s="2" t="inlineStr">
        <is>
          <t>004</t>
        </is>
      </c>
    </row>
    <row r="17">
      <c r="A17" s="2" t="inlineStr">
        <is>
          <t>ME.ALU.THIN</t>
        </is>
      </c>
      <c r="B17" s="2" t="inlineStr">
        <is>
          <t>Metals &gt; Aluminium &gt; Aluminium (&lt;50 μm)</t>
        </is>
      </c>
      <c r="C17" s="2" t="inlineStr">
        <is>
          <t>Aluminium (&lt;50 μm)</t>
        </is>
      </c>
      <c r="D17" s="2" t="inlineStr">
        <is>
          <t>Aluminium packaging elements with thickness &lt;50 μm.</t>
        </is>
      </c>
      <c r="E17" s="2" t="inlineStr">
        <is>
          <t>Fost Plus</t>
        </is>
      </c>
      <c r="F17" s="2" t="inlineStr">
        <is>
          <t>013</t>
        </is>
      </c>
    </row>
    <row r="18">
      <c r="A18" s="2" t="inlineStr">
        <is>
          <t>OT</t>
        </is>
      </c>
      <c r="B18" s="2" t="inlineStr">
        <is>
          <t>Other</t>
        </is>
      </c>
      <c r="C18" s="2" t="inlineStr">
        <is>
          <t>Other</t>
        </is>
      </c>
      <c r="D18" s="2" t="inlineStr">
        <is>
          <t>Materials not covered above (e.g., cork, ceramics, rubber, bamboo).</t>
        </is>
      </c>
      <c r="E18" s="2" t="inlineStr"/>
      <c r="F18" s="2" t="inlineStr"/>
    </row>
    <row r="19">
      <c r="A19" s="2" t="inlineStr">
        <is>
          <t>MOD.HHW</t>
        </is>
      </c>
      <c r="B19" s="2" t="inlineStr">
        <is>
          <t>Other &gt; Hazardous household waste after use (modifier)</t>
        </is>
      </c>
      <c r="C19" s="2" t="inlineStr">
        <is>
          <t>Hazardous household waste after use (modifier)</t>
        </is>
      </c>
      <c r="D19" s="2" t="inlineStr">
        <is>
          <t>Packaging that must be sorted as household hazardous waste after use (scheme-defined).</t>
        </is>
      </c>
      <c r="E19" s="2" t="inlineStr">
        <is>
          <t>Fost Plus</t>
        </is>
      </c>
      <c r="F19" s="2" t="inlineStr">
        <is>
          <t>HHW</t>
        </is>
      </c>
    </row>
    <row r="20">
      <c r="A20" s="2" t="inlineStr">
        <is>
          <t>MOD.OBSTRUCTIVE</t>
        </is>
      </c>
      <c r="B20" s="2" t="inlineStr">
        <is>
          <t>Other &gt; Obstructive packaging (modifier)</t>
        </is>
      </c>
      <c r="C20" s="2" t="inlineStr">
        <is>
          <t>Obstructive packaging (modifier)</t>
        </is>
      </c>
      <c r="D20" s="2" t="inlineStr">
        <is>
          <t>Packaging that obstructs collection, sorting or recycling (scheme-defined).</t>
        </is>
      </c>
      <c r="E20" s="2" t="inlineStr">
        <is>
          <t>Fost Plus</t>
        </is>
      </c>
      <c r="F20" s="2" t="inlineStr">
        <is>
          <t>Obstructive</t>
        </is>
      </c>
    </row>
    <row r="21">
      <c r="A21" s="2" t="inlineStr">
        <is>
          <t>OT.CERAMIC</t>
        </is>
      </c>
      <c r="B21" s="2" t="inlineStr">
        <is>
          <t>Other &gt; Pottery / ceramics / porcelain</t>
        </is>
      </c>
      <c r="C21" s="2" t="inlineStr">
        <is>
          <t>Pottery / ceramics / porcelain</t>
        </is>
      </c>
      <c r="D21" s="2" t="inlineStr">
        <is>
          <t>Packaging made of pottery, ceramics, porcelain, etc.</t>
        </is>
      </c>
      <c r="E21" s="2" t="inlineStr">
        <is>
          <t>Fost Plus</t>
        </is>
      </c>
      <c r="F21" s="2" t="inlineStr">
        <is>
          <t>019</t>
        </is>
      </c>
    </row>
    <row r="22">
      <c r="A22" s="2" t="inlineStr">
        <is>
          <t>OT.CORK</t>
        </is>
      </c>
      <c r="B22" s="2" t="inlineStr">
        <is>
          <t>Other &gt; Cork</t>
        </is>
      </c>
      <c r="C22" s="2" t="inlineStr">
        <is>
          <t>Cork</t>
        </is>
      </c>
      <c r="D22" s="2" t="inlineStr">
        <is>
          <t>Packaging elements made of cork.</t>
        </is>
      </c>
      <c r="E22" s="2" t="inlineStr">
        <is>
          <t>Fost Plus</t>
        </is>
      </c>
      <c r="F22" s="2" t="inlineStr">
        <is>
          <t>016-02</t>
        </is>
      </c>
    </row>
    <row r="23">
      <c r="A23" s="2" t="inlineStr">
        <is>
          <t>OT.OTHER_PACK</t>
        </is>
      </c>
      <c r="B23" s="2" t="inlineStr">
        <is>
          <t>Other &gt; Packaging of other materials</t>
        </is>
      </c>
      <c r="C23" s="2" t="inlineStr">
        <is>
          <t>Packaging of other materials</t>
        </is>
      </c>
      <c r="D23" s="2" t="inlineStr">
        <is>
          <t>Packaging materials not classified elsewhere.</t>
        </is>
      </c>
      <c r="E23" s="2" t="inlineStr">
        <is>
          <t>NPA Sweden</t>
        </is>
      </c>
      <c r="F23" s="2" t="inlineStr">
        <is>
          <t>8130/8230</t>
        </is>
      </c>
    </row>
    <row r="24">
      <c r="A24" s="2" t="inlineStr">
        <is>
          <t>OT.OTHER_VALORISED</t>
        </is>
      </c>
      <c r="B24" s="2" t="inlineStr">
        <is>
          <t>Other &gt; Other valorised (textile, rubber, etc.)</t>
        </is>
      </c>
      <c r="C24" s="2" t="inlineStr">
        <is>
          <t>Other valorised (textile, rubber, etc.)</t>
        </is>
      </c>
      <c r="D24" s="2" t="inlineStr">
        <is>
          <t>Other valorised packaging materials (e.g., textile, rubber).</t>
        </is>
      </c>
      <c r="E24" s="2" t="inlineStr">
        <is>
          <t>Fost Plus</t>
        </is>
      </c>
      <c r="F24" s="2" t="inlineStr">
        <is>
          <t>016-03</t>
        </is>
      </c>
    </row>
    <row r="25">
      <c r="A25" s="2" t="inlineStr">
        <is>
          <t>PA</t>
        </is>
      </c>
      <c r="B25" s="2" t="inlineStr">
        <is>
          <t>Paper &amp; Cardboard</t>
        </is>
      </c>
      <c r="C25" s="2" t="inlineStr">
        <is>
          <t>Paper &amp; Cardboard</t>
        </is>
      </c>
      <c r="D25" s="2" t="inlineStr">
        <is>
          <t>Paper, fibreboard, cardboard packaging materials.</t>
        </is>
      </c>
      <c r="E25" s="2" t="inlineStr">
        <is>
          <t>EU 97/129/EC</t>
        </is>
      </c>
      <c r="F25" s="2" t="inlineStr">
        <is>
          <t>PAP 20–22</t>
        </is>
      </c>
    </row>
    <row r="26">
      <c r="A26" s="2" t="inlineStr">
        <is>
          <t>PA.COMPOSITE</t>
        </is>
      </c>
      <c r="B26" s="2" t="inlineStr">
        <is>
          <t>Paper &amp; Cardboard &gt; Paper/cardboard — composite</t>
        </is>
      </c>
      <c r="C26" s="2" t="inlineStr">
        <is>
          <t>Paper/cardboard — composite</t>
        </is>
      </c>
      <c r="D26" s="2" t="inlineStr">
        <is>
          <t>Paper/cardboard packaging with coatings/laminates or otherwise composite.</t>
        </is>
      </c>
      <c r="E26" s="2" t="inlineStr"/>
      <c r="F26" s="2" t="inlineStr"/>
    </row>
    <row r="27">
      <c r="A27" s="2" t="inlineStr">
        <is>
          <t>PA.MONO</t>
        </is>
      </c>
      <c r="B27" s="2" t="inlineStr">
        <is>
          <t>Paper &amp; Cardboard &gt; Paper/cardboard — mono-material</t>
        </is>
      </c>
      <c r="C27" s="2" t="inlineStr">
        <is>
          <t>Paper/cardboard — mono-material</t>
        </is>
      </c>
      <c r="D27" s="2" t="inlineStr">
        <is>
          <t>Mono-material paper and cardboard packaging.</t>
        </is>
      </c>
      <c r="E27" s="2" t="inlineStr"/>
      <c r="F27" s="2" t="inlineStr"/>
    </row>
    <row r="28">
      <c r="A28" s="2" t="inlineStr">
        <is>
          <t>PA.RECYCLED</t>
        </is>
      </c>
      <c r="B28" s="2" t="inlineStr">
        <is>
          <t>Paper &amp; Cardboard &gt; Paper-cardboard (recyclable fibre)</t>
        </is>
      </c>
      <c r="C28" s="2" t="inlineStr">
        <is>
          <t>Paper-cardboard (recyclable fibre)</t>
        </is>
      </c>
      <c r="D28" s="2" t="inlineStr">
        <is>
          <t>Paper-cardboard packaging elements with ≥85% fibre or recyclable per CEPI protocol.</t>
        </is>
      </c>
      <c r="E28" s="2" t="inlineStr">
        <is>
          <t>Fost Plus</t>
        </is>
      </c>
      <c r="F28" s="2" t="inlineStr">
        <is>
          <t>002</t>
        </is>
      </c>
    </row>
    <row r="29">
      <c r="A29" s="2" t="inlineStr">
        <is>
          <t>PA.REC_COMP</t>
        </is>
      </c>
      <c r="B29" s="2" t="inlineStr">
        <is>
          <t>Paper &amp; Cardboard &gt; Paper packaging — compatible with material recycling</t>
        </is>
      </c>
      <c r="C29" s="2" t="inlineStr">
        <is>
          <t>Paper packaging — compatible with material recycling</t>
        </is>
      </c>
      <c r="D29" s="2" t="inlineStr">
        <is>
          <t>Paper packaging assessed as compatible with material recycling.</t>
        </is>
      </c>
      <c r="E29" s="2" t="inlineStr">
        <is>
          <t>NPA Sweden</t>
        </is>
      </c>
      <c r="F29" s="2" t="inlineStr">
        <is>
          <t>3110/3210</t>
        </is>
      </c>
    </row>
    <row r="30">
      <c r="A30" s="2" t="inlineStr">
        <is>
          <t>PA.REC_PARTIAL</t>
        </is>
      </c>
      <c r="B30" s="2" t="inlineStr">
        <is>
          <t>Paper &amp; Cardboard &gt; Paper packaging — partially or not compatible</t>
        </is>
      </c>
      <c r="C30" s="2" t="inlineStr">
        <is>
          <t>Paper packaging — partially or not compatible</t>
        </is>
      </c>
      <c r="D30" s="2" t="inlineStr">
        <is>
          <t>Paper packaging partially or not compatible with material recycling.</t>
        </is>
      </c>
      <c r="E30" s="2" t="inlineStr">
        <is>
          <t>NPA Sweden</t>
        </is>
      </c>
      <c r="F30" s="2" t="inlineStr">
        <is>
          <t>3150/3250</t>
        </is>
      </c>
    </row>
    <row r="31">
      <c r="A31" s="2" t="inlineStr">
        <is>
          <t>PL</t>
        </is>
      </c>
      <c r="B31" s="2" t="inlineStr">
        <is>
          <t>Plastics</t>
        </is>
      </c>
      <c r="C31" s="2" t="inlineStr">
        <is>
          <t>Plastics</t>
        </is>
      </c>
      <c r="D31" s="2" t="inlineStr">
        <is>
          <t>Polymer-based packaging materials (incl. bioplastics).</t>
        </is>
      </c>
      <c r="E31" s="2" t="inlineStr">
        <is>
          <t>EU 97/129/EC; ISO 1043</t>
        </is>
      </c>
      <c r="F31" s="2" t="inlineStr">
        <is>
          <t>1–7 (resins); ISO 1043</t>
        </is>
      </c>
    </row>
    <row r="32">
      <c r="A32" s="2" t="inlineStr">
        <is>
          <t>PL.BIO</t>
        </is>
      </c>
      <c r="B32" s="2" t="inlineStr">
        <is>
          <t>Plastics &gt; Compostable &amp; biodegradable plastics</t>
        </is>
      </c>
      <c r="C32" s="2" t="inlineStr">
        <is>
          <t>Compostable &amp; biodegradable plastics</t>
        </is>
      </c>
      <c r="D32" s="2" t="inlineStr">
        <is>
          <t>Compostable/biodegradable plastics (e.g., PLA, PHA, PBS, PBAT).</t>
        </is>
      </c>
      <c r="E32" s="2" t="inlineStr">
        <is>
          <t>ISO 1043</t>
        </is>
      </c>
      <c r="F32" s="2" t="inlineStr">
        <is>
          <t>PLA etc</t>
        </is>
      </c>
    </row>
    <row r="33">
      <c r="A33" s="2" t="inlineStr">
        <is>
          <t>PL.FLEX</t>
        </is>
      </c>
      <c r="B33" s="2" t="inlineStr">
        <is>
          <t>Plastics &gt; Flexible plastics (films)</t>
        </is>
      </c>
      <c r="C33" s="2" t="inlineStr">
        <is>
          <t>Flexible plastics (films)</t>
        </is>
      </c>
      <c r="D33" s="2" t="inlineStr">
        <is>
          <t>Flexible plastic packaging (films, pouches).</t>
        </is>
      </c>
      <c r="E33" s="2" t="inlineStr"/>
      <c r="F33" s="2" t="inlineStr"/>
    </row>
    <row r="34">
      <c r="A34" s="2" t="inlineStr">
        <is>
          <t>PL.OTHER</t>
        </is>
      </c>
      <c r="B34" s="2" t="inlineStr">
        <is>
          <t>Plastics &gt; Other / mixed plastics</t>
        </is>
      </c>
      <c r="C34" s="2" t="inlineStr">
        <is>
          <t>Other / mixed plastics</t>
        </is>
      </c>
      <c r="D34" s="2" t="inlineStr">
        <is>
          <t>Plastics not classifiable above or multi-layer plastic structures.</t>
        </is>
      </c>
      <c r="E34" s="2" t="inlineStr">
        <is>
          <t>EU 97/129/EC</t>
        </is>
      </c>
      <c r="F34" s="2" t="inlineStr">
        <is>
          <t>O 7</t>
        </is>
      </c>
    </row>
    <row r="35">
      <c r="A35" s="2" t="inlineStr">
        <is>
          <t>PL.PE</t>
        </is>
      </c>
      <c r="B35" s="2" t="inlineStr">
        <is>
          <t>Plastics &gt; PE (polyethylene)</t>
        </is>
      </c>
      <c r="C35" s="2" t="inlineStr">
        <is>
          <t>PE (polyethylene)</t>
        </is>
      </c>
      <c r="D35" s="2" t="inlineStr">
        <is>
          <t>Polyethylene (incl. HDPE/LDPE).</t>
        </is>
      </c>
      <c r="E35" s="2" t="inlineStr">
        <is>
          <t>EU 97/129/EC; ISO 1043</t>
        </is>
      </c>
      <c r="F35" s="2" t="inlineStr">
        <is>
          <t>PEHD 2; PELD 4; PE</t>
        </is>
      </c>
    </row>
    <row r="36">
      <c r="A36" s="2" t="inlineStr">
        <is>
          <t>PL.PP</t>
        </is>
      </c>
      <c r="B36" s="2" t="inlineStr">
        <is>
          <t>Plastics &gt; PP (polypropylene)</t>
        </is>
      </c>
      <c r="C36" s="2" t="inlineStr">
        <is>
          <t>PP (polypropylene)</t>
        </is>
      </c>
      <c r="D36" s="2" t="inlineStr">
        <is>
          <t>Polypropylene.</t>
        </is>
      </c>
      <c r="E36" s="2" t="inlineStr">
        <is>
          <t>EU 97/129/EC; ISO 1043</t>
        </is>
      </c>
      <c r="F36" s="2" t="inlineStr">
        <is>
          <t>PP 5; PP</t>
        </is>
      </c>
    </row>
    <row r="37">
      <c r="A37" s="2" t="inlineStr">
        <is>
          <t>PL.PS</t>
        </is>
      </c>
      <c r="B37" s="2" t="inlineStr">
        <is>
          <t>Plastics &gt; PS (polystyrene)</t>
        </is>
      </c>
      <c r="C37" s="2" t="inlineStr">
        <is>
          <t>PS (polystyrene)</t>
        </is>
      </c>
      <c r="D37" s="2" t="inlineStr">
        <is>
          <t>Polystyrene (incl. EPS/XPS).</t>
        </is>
      </c>
      <c r="E37" s="2" t="inlineStr">
        <is>
          <t>EU 97/129/EC; ISO 1043</t>
        </is>
      </c>
      <c r="F37" s="2" t="inlineStr">
        <is>
          <t>PS 6; PS</t>
        </is>
      </c>
    </row>
    <row r="38">
      <c r="A38" s="2" t="inlineStr">
        <is>
          <t>PL.REC_COMP</t>
        </is>
      </c>
      <c r="B38" s="2" t="inlineStr">
        <is>
          <t>Plastics &gt; Plastic packaging — compatible with material recycling</t>
        </is>
      </c>
      <c r="C38" s="2" t="inlineStr">
        <is>
          <t>Plastic packaging — compatible with material recycling</t>
        </is>
      </c>
      <c r="D38" s="2" t="inlineStr">
        <is>
          <t>Plastic packaging assessed as compatible with material recycling.</t>
        </is>
      </c>
      <c r="E38" s="2" t="inlineStr">
        <is>
          <t>NPA Sweden</t>
        </is>
      </c>
      <c r="F38" s="2" t="inlineStr">
        <is>
          <t>4110/4210</t>
        </is>
      </c>
    </row>
    <row r="39">
      <c r="A39" s="2" t="inlineStr">
        <is>
          <t>PL.REC_NOT</t>
        </is>
      </c>
      <c r="B39" s="2" t="inlineStr">
        <is>
          <t>Plastics &gt; Plastic packaging — not compatible with material recycling</t>
        </is>
      </c>
      <c r="C39" s="2" t="inlineStr">
        <is>
          <t>Plastic packaging — not compatible with material recycling</t>
        </is>
      </c>
      <c r="D39" s="2" t="inlineStr">
        <is>
          <t>Plastic packaging not compatible with material recycling.</t>
        </is>
      </c>
      <c r="E39" s="2" t="inlineStr">
        <is>
          <t>NPA Sweden</t>
        </is>
      </c>
      <c r="F39" s="2" t="inlineStr">
        <is>
          <t>4150</t>
        </is>
      </c>
    </row>
    <row r="40">
      <c r="A40" s="2" t="inlineStr">
        <is>
          <t>PL.REC_PARTIAL</t>
        </is>
      </c>
      <c r="B40" s="2" t="inlineStr">
        <is>
          <t>Plastics &gt; Plastic packaging — partially compatible / partially or not compatible</t>
        </is>
      </c>
      <c r="C40" s="2" t="inlineStr">
        <is>
          <t>Plastic packaging — partially compatible / partially or not compatible</t>
        </is>
      </c>
      <c r="D40" s="2" t="inlineStr">
        <is>
          <t>Plastic packaging partially compatible or partially/not compatible with material recycling (scheme-defined).</t>
        </is>
      </c>
      <c r="E40" s="2" t="inlineStr">
        <is>
          <t>NPA Sweden</t>
        </is>
      </c>
      <c r="F40" s="2" t="inlineStr">
        <is>
          <t>4130/4250</t>
        </is>
      </c>
    </row>
    <row r="41">
      <c r="A41" s="2" t="inlineStr">
        <is>
          <t>PL.REUSE_SYS</t>
        </is>
      </c>
      <c r="B41" s="2" t="inlineStr">
        <is>
          <t>Plastics &gt; Plastic packaging — in systems for reuse</t>
        </is>
      </c>
      <c r="C41" s="2" t="inlineStr">
        <is>
          <t>Plastic packaging — in systems for reuse</t>
        </is>
      </c>
      <c r="D41" s="2" t="inlineStr">
        <is>
          <t>Plastic packaging in systems for reuse.</t>
        </is>
      </c>
      <c r="E41" s="2" t="inlineStr">
        <is>
          <t>NPA Sweden</t>
        </is>
      </c>
      <c r="F41" s="2" t="inlineStr">
        <is>
          <t>4215</t>
        </is>
      </c>
    </row>
    <row r="42">
      <c r="A42" s="2" t="inlineStr">
        <is>
          <t>PL.RIGID</t>
        </is>
      </c>
      <c r="B42" s="2" t="inlineStr">
        <is>
          <t>Plastics &gt; Rigid plastics</t>
        </is>
      </c>
      <c r="C42" s="2" t="inlineStr">
        <is>
          <t>Rigid plastics</t>
        </is>
      </c>
      <c r="D42" s="2" t="inlineStr">
        <is>
          <t>Dimensionally stable plastic packaging (e.g., bottles, trays).</t>
        </is>
      </c>
      <c r="E42" s="2" t="inlineStr"/>
      <c r="F42" s="2" t="inlineStr"/>
    </row>
    <row r="43">
      <c r="A43" s="2" t="inlineStr">
        <is>
          <t>PL.BIO.BE</t>
        </is>
      </c>
      <c r="B43" s="2" t="inlineStr">
        <is>
          <t>Plastics &gt; Compostable &amp; biodegradable plastics &gt; Compostable &amp; biodegradable plastic packaging</t>
        </is>
      </c>
      <c r="C43" s="2" t="inlineStr">
        <is>
          <t>Compostable &amp; biodegradable plastic packaging</t>
        </is>
      </c>
      <c r="D43" s="2" t="inlineStr">
        <is>
          <t>Hard/flexible packaging elements in compostable/biodegradable plastics.</t>
        </is>
      </c>
      <c r="E43" s="2" t="inlineStr">
        <is>
          <t>Fost Plus</t>
        </is>
      </c>
      <c r="F43" s="2" t="inlineStr">
        <is>
          <t>014-02</t>
        </is>
      </c>
    </row>
    <row r="44">
      <c r="A44" s="2" t="inlineStr">
        <is>
          <t>PL.FILM.OTHER</t>
        </is>
      </c>
      <c r="B44" s="2" t="inlineStr">
        <is>
          <t>Plastics &gt; Flexible plastics (films) &gt; Other plastic films</t>
        </is>
      </c>
      <c r="C44" s="2" t="inlineStr">
        <is>
          <t>Other plastic films</t>
        </is>
      </c>
      <c r="D44" s="2" t="inlineStr">
        <is>
          <t>Mixed polyolefin &amp; multi-material plastic films not otherwise classified.</t>
        </is>
      </c>
      <c r="E44" s="2" t="inlineStr">
        <is>
          <t>Fost Plus</t>
        </is>
      </c>
      <c r="F44" s="2" t="inlineStr">
        <is>
          <t>011-09</t>
        </is>
      </c>
    </row>
    <row r="45">
      <c r="A45" s="2" t="inlineStr">
        <is>
          <t>PL.OTHER.BE</t>
        </is>
      </c>
      <c r="B45" s="2" t="inlineStr">
        <is>
          <t>Plastics &gt; Other / mixed plastics &gt; Other plastic packaging (incl. PVC, laminates etc.)</t>
        </is>
      </c>
      <c r="C45" s="2" t="inlineStr">
        <is>
          <t>Other plastic packaging (incl. PVC, laminates etc.)</t>
        </is>
      </c>
      <c r="D45" s="2" t="inlineStr">
        <is>
          <t>Plastic packaging not in other categories, incl. aluminium laminates, PVC, PVdC, PETG, CPET.</t>
        </is>
      </c>
      <c r="E45" s="2" t="inlineStr">
        <is>
          <t>Fost Plus</t>
        </is>
      </c>
      <c r="F45" s="2" t="inlineStr">
        <is>
          <t>014-03</t>
        </is>
      </c>
    </row>
    <row r="46">
      <c r="A46" s="2" t="inlineStr">
        <is>
          <t>PL.PE.FILM</t>
        </is>
      </c>
      <c r="B46" s="2" t="inlineStr">
        <is>
          <t>Plastics &gt; Flexible plastics (films) &gt; PE films</t>
        </is>
      </c>
      <c r="C46" s="2" t="inlineStr">
        <is>
          <t>PE films</t>
        </is>
      </c>
      <c r="D46" s="2" t="inlineStr">
        <is>
          <t>Flexible packaging elements (films) in PE (≥95% PE).</t>
        </is>
      </c>
      <c r="E46" s="2" t="inlineStr">
        <is>
          <t>Fost Plus</t>
        </is>
      </c>
      <c r="F46" s="2" t="inlineStr">
        <is>
          <t>011-07</t>
        </is>
      </c>
    </row>
    <row r="47">
      <c r="A47" s="2" t="inlineStr">
        <is>
          <t>PL.PE.RIGID</t>
        </is>
      </c>
      <c r="B47" s="2" t="inlineStr">
        <is>
          <t>Plastics &gt; Rigid plastics &gt; PE rigid (bottles, caps, trays etc.)</t>
        </is>
      </c>
      <c r="C47" s="2" t="inlineStr">
        <is>
          <t>PE rigid (bottles, caps, trays etc.)</t>
        </is>
      </c>
      <c r="D47" s="2" t="inlineStr">
        <is>
          <t>Hard packaging elements in PE (≥95% PE).</t>
        </is>
      </c>
      <c r="E47" s="2" t="inlineStr">
        <is>
          <t>Fost Plus</t>
        </is>
      </c>
      <c r="F47" s="2" t="inlineStr">
        <is>
          <t>011-03</t>
        </is>
      </c>
    </row>
    <row r="48">
      <c r="A48" s="2" t="inlineStr">
        <is>
          <t>PL.PET</t>
        </is>
      </c>
      <c r="B48" s="2" t="inlineStr">
        <is>
          <t>Plastics &gt; Rigid plastics &gt; PET (polyethylene terephthalate)</t>
        </is>
      </c>
      <c r="C48" s="2" t="inlineStr">
        <is>
          <t>PET (polyethylene terephthalate)</t>
        </is>
      </c>
      <c r="D48" s="2" t="inlineStr">
        <is>
          <t>Polyethylene terephthalate.</t>
        </is>
      </c>
      <c r="E48" s="2" t="inlineStr">
        <is>
          <t>EU 97/129/EC; ISO 1043</t>
        </is>
      </c>
      <c r="F48" s="2" t="inlineStr">
        <is>
          <t>PET 1; PET</t>
        </is>
      </c>
    </row>
    <row r="49">
      <c r="A49" s="2" t="inlineStr">
        <is>
          <t>PL.PP.FILM</t>
        </is>
      </c>
      <c r="B49" s="2" t="inlineStr">
        <is>
          <t>Plastics &gt; Flexible plastics (films) &gt; PP films</t>
        </is>
      </c>
      <c r="C49" s="2" t="inlineStr">
        <is>
          <t>PP films</t>
        </is>
      </c>
      <c r="D49" s="2" t="inlineStr">
        <is>
          <t>Flexible packaging elements (films) in PP (≥95% PP).</t>
        </is>
      </c>
      <c r="E49" s="2" t="inlineStr">
        <is>
          <t>Fost Plus</t>
        </is>
      </c>
      <c r="F49" s="2" t="inlineStr">
        <is>
          <t>011-09-A</t>
        </is>
      </c>
    </row>
    <row r="50">
      <c r="A50" s="2" t="inlineStr">
        <is>
          <t>PL.PP.RIGID</t>
        </is>
      </c>
      <c r="B50" s="2" t="inlineStr">
        <is>
          <t>Plastics &gt; Rigid plastics &gt; PP rigid (bottles, caps etc.)</t>
        </is>
      </c>
      <c r="C50" s="2" t="inlineStr">
        <is>
          <t>PP rigid (bottles, caps etc.)</t>
        </is>
      </c>
      <c r="D50" s="2" t="inlineStr">
        <is>
          <t>Hard packaging elements in PP (≥95% PP).</t>
        </is>
      </c>
      <c r="E50" s="2" t="inlineStr">
        <is>
          <t>Fost Plus</t>
        </is>
      </c>
      <c r="F50" s="2" t="inlineStr">
        <is>
          <t>011-01</t>
        </is>
      </c>
    </row>
    <row r="51">
      <c r="A51" s="2" t="inlineStr">
        <is>
          <t>PL.PS.EPS</t>
        </is>
      </c>
      <c r="B51" s="2" t="inlineStr">
        <is>
          <t>Plastics &gt; Rigid plastics &gt; EPS (expanded polystyrene)</t>
        </is>
      </c>
      <c r="C51" s="2" t="inlineStr">
        <is>
          <t>EPS (expanded polystyrene)</t>
        </is>
      </c>
      <c r="D51" s="2" t="inlineStr">
        <is>
          <t>Hard packaging elements consisting of EPS (styrofoam) (≥95% EPS).</t>
        </is>
      </c>
      <c r="E51" s="2" t="inlineStr">
        <is>
          <t>Fost Plus</t>
        </is>
      </c>
      <c r="F51" s="2" t="inlineStr">
        <is>
          <t>014-01</t>
        </is>
      </c>
    </row>
    <row r="52">
      <c r="A52" s="2" t="inlineStr">
        <is>
          <t>PL.PS.XPS.RIGID</t>
        </is>
      </c>
      <c r="B52" s="2" t="inlineStr">
        <is>
          <t>Plastics &gt; Rigid plastics &gt; PS/XPS rigid (excluding EPS)</t>
        </is>
      </c>
      <c r="C52" s="2" t="inlineStr">
        <is>
          <t>PS/XPS rigid (excluding EPS)</t>
        </is>
      </c>
      <c r="D52" s="2" t="inlineStr">
        <is>
          <t>Hard packaging elements in PS/XPS (excluding EPS).</t>
        </is>
      </c>
      <c r="E52" s="2" t="inlineStr">
        <is>
          <t>Fost Plus</t>
        </is>
      </c>
      <c r="F52" s="2" t="inlineStr">
        <is>
          <t>011-02</t>
        </is>
      </c>
    </row>
    <row r="53">
      <c r="A53" s="2" t="inlineStr">
        <is>
          <t>PL.PET.BF.OPAQUE</t>
        </is>
      </c>
      <c r="B53" s="2" t="inlineStr">
        <is>
          <t>Plastics &gt; Rigid plastics &gt; PET (polyethylene terephthalate) &gt; PET bottles &amp; flasks — opaque</t>
        </is>
      </c>
      <c r="C53" s="2" t="inlineStr">
        <is>
          <t>PET bottles &amp; flasks — opaque</t>
        </is>
      </c>
      <c r="D53" s="2" t="inlineStr">
        <is>
          <t>Non-transparent PET bottles/flasks (≥95% PET).</t>
        </is>
      </c>
      <c r="E53" s="2" t="inlineStr">
        <is>
          <t>Fost Plus</t>
        </is>
      </c>
      <c r="F53" s="2" t="inlineStr">
        <is>
          <t>011-06</t>
        </is>
      </c>
    </row>
    <row r="54">
      <c r="A54" s="2" t="inlineStr">
        <is>
          <t>PL.PET.BF.TR.BLUE</t>
        </is>
      </c>
      <c r="B54" s="2" t="inlineStr">
        <is>
          <t>Plastics &gt; Rigid plastics &gt; PET (polyethylene terephthalate) &gt; PET bottles &amp; flasks — transparent blue</t>
        </is>
      </c>
      <c r="C54" s="2" t="inlineStr">
        <is>
          <t>PET bottles &amp; flasks — transparent blue</t>
        </is>
      </c>
      <c r="D54" s="2" t="inlineStr">
        <is>
          <t>Blue bottles/flasks in transparent PET (≥95% PET).</t>
        </is>
      </c>
      <c r="E54" s="2" t="inlineStr">
        <is>
          <t>Fost Plus</t>
        </is>
      </c>
      <c r="F54" s="2" t="inlineStr">
        <is>
          <t>005-02</t>
        </is>
      </c>
    </row>
    <row r="55">
      <c r="A55" s="2" t="inlineStr">
        <is>
          <t>PL.PET.BF.TR.CLEAR</t>
        </is>
      </c>
      <c r="B55" s="2" t="inlineStr">
        <is>
          <t>Plastics &gt; Rigid plastics &gt; PET (polyethylene terephthalate) &gt; PET bottles &amp; flasks — transparent colourless</t>
        </is>
      </c>
      <c r="C55" s="2" t="inlineStr">
        <is>
          <t>PET bottles &amp; flasks — transparent colourless</t>
        </is>
      </c>
      <c r="D55" s="2" t="inlineStr">
        <is>
          <t>Colourless bottles/flasks in transparent PET (≥95% PET).</t>
        </is>
      </c>
      <c r="E55" s="2" t="inlineStr">
        <is>
          <t>Fost Plus</t>
        </is>
      </c>
      <c r="F55" s="2" t="inlineStr">
        <is>
          <t>005-01</t>
        </is>
      </c>
    </row>
    <row r="56">
      <c r="A56" s="2" t="inlineStr">
        <is>
          <t>PL.PET.BF.TR.OTHER</t>
        </is>
      </c>
      <c r="B56" s="2" t="inlineStr">
        <is>
          <t>Plastics &gt; Rigid plastics &gt; PET (polyethylene terephthalate) &gt; PET bottles &amp; flasks — transparent other colours</t>
        </is>
      </c>
      <c r="C56" s="2" t="inlineStr">
        <is>
          <t>PET bottles &amp; flasks — transparent other colours</t>
        </is>
      </c>
      <c r="D56" s="2" t="inlineStr">
        <is>
          <t>Transparent PET bottles/flasks, colour other than colourless/blue (≥95% PET).</t>
        </is>
      </c>
      <c r="E56" s="2" t="inlineStr">
        <is>
          <t>Fost Plus</t>
        </is>
      </c>
      <c r="F56" s="2" t="inlineStr">
        <is>
          <t>005-03</t>
        </is>
      </c>
    </row>
    <row r="57">
      <c r="A57" s="2" t="inlineStr">
        <is>
          <t>PL.PET.THERMO.MONO.TR</t>
        </is>
      </c>
      <c r="B57" s="2" t="inlineStr">
        <is>
          <t>Plastics &gt; Rigid plastics &gt; PET (polyethylene terephthalate) &gt; PET thermoformed — mono transparent (APET)</t>
        </is>
      </c>
      <c r="C57" s="2" t="inlineStr">
        <is>
          <t>PET thermoformed — mono transparent (APET)</t>
        </is>
      </c>
      <c r="D57" s="2" t="inlineStr">
        <is>
          <t>Transparent thermoformed mono APET trays/cups.</t>
        </is>
      </c>
      <c r="E57" s="2" t="inlineStr">
        <is>
          <t>Fost Plus</t>
        </is>
      </c>
      <c r="F57" s="2" t="inlineStr">
        <is>
          <t>011-05-A</t>
        </is>
      </c>
    </row>
    <row r="58">
      <c r="A58" s="2" t="inlineStr">
        <is>
          <t>PL.PET.THERMO.MULTI.TR</t>
        </is>
      </c>
      <c r="B58" s="2" t="inlineStr">
        <is>
          <t>Plastics &gt; Rigid plastics &gt; PET (polyethylene terephthalate) &gt; PET thermoformed — multilayer transparent</t>
        </is>
      </c>
      <c r="C58" s="2" t="inlineStr">
        <is>
          <t>PET thermoformed — multilayer transparent</t>
        </is>
      </c>
      <c r="D58" s="2" t="inlineStr">
        <is>
          <t>Transparent thermoformed multilayer PET (e.g., APET/PE).</t>
        </is>
      </c>
      <c r="E58" s="2" t="inlineStr">
        <is>
          <t>Fost Plus</t>
        </is>
      </c>
      <c r="F58" s="2" t="inlineStr">
        <is>
          <t>011-05</t>
        </is>
      </c>
    </row>
    <row r="59">
      <c r="A59" s="2" t="inlineStr">
        <is>
          <t>PL.PET.THERMO.OPAQUE</t>
        </is>
      </c>
      <c r="B59" s="2" t="inlineStr">
        <is>
          <t>Plastics &gt; Rigid plastics &gt; PET (polyethylene terephthalate) &gt; PET thermoformed — opaque / cPET</t>
        </is>
      </c>
      <c r="C59" s="2" t="inlineStr">
        <is>
          <t>PET thermoformed — opaque / cPET</t>
        </is>
      </c>
      <c r="D59" s="2" t="inlineStr">
        <is>
          <t>Non-transparent thermoformed PET trays/cups (incl. cPET).</t>
        </is>
      </c>
      <c r="E59" s="2" t="inlineStr">
        <is>
          <t>Fost Plus</t>
        </is>
      </c>
      <c r="F59" s="2" t="inlineStr">
        <is>
          <t>011-08</t>
        </is>
      </c>
    </row>
    <row r="60">
      <c r="A60" s="2" t="inlineStr">
        <is>
          <t>TE</t>
        </is>
      </c>
      <c r="B60" s="2" t="inlineStr">
        <is>
          <t>Textiles</t>
        </is>
      </c>
      <c r="C60" s="2" t="inlineStr">
        <is>
          <t>Textiles</t>
        </is>
      </c>
      <c r="D60" s="2" t="inlineStr">
        <is>
          <t>Textile packaging materials.</t>
        </is>
      </c>
      <c r="E60" s="2" t="inlineStr">
        <is>
          <t>EU 97/129/EC</t>
        </is>
      </c>
      <c r="F60" s="2" t="inlineStr">
        <is>
          <t>TEX 60</t>
        </is>
      </c>
    </row>
    <row r="61">
      <c r="A61" s="2" t="inlineStr">
        <is>
          <t>TE.PACK</t>
        </is>
      </c>
      <c r="B61" s="2" t="inlineStr">
        <is>
          <t>Textiles &gt; Textile packaging</t>
        </is>
      </c>
      <c r="C61" s="2" t="inlineStr">
        <is>
          <t>Textile packaging</t>
        </is>
      </c>
      <c r="D61" s="2" t="inlineStr">
        <is>
          <t>Packaging made of textiles.</t>
        </is>
      </c>
      <c r="E61" s="2" t="inlineStr">
        <is>
          <t>NPA Sweden</t>
        </is>
      </c>
      <c r="F61" s="2" t="inlineStr">
        <is>
          <t>8110/8210</t>
        </is>
      </c>
    </row>
    <row r="62">
      <c r="A62" s="2" t="inlineStr">
        <is>
          <t>WO</t>
        </is>
      </c>
      <c r="B62" s="2" t="inlineStr">
        <is>
          <t>Wood</t>
        </is>
      </c>
      <c r="C62" s="2" t="inlineStr">
        <is>
          <t>Wood</t>
        </is>
      </c>
      <c r="D62" s="2" t="inlineStr">
        <is>
          <t>Wood packaging materials.</t>
        </is>
      </c>
      <c r="E62" s="2" t="inlineStr">
        <is>
          <t>EU 97/129/EC</t>
        </is>
      </c>
      <c r="F62" s="2" t="inlineStr">
        <is>
          <t>FOR 50–51</t>
        </is>
      </c>
    </row>
    <row r="63">
      <c r="A63" s="2" t="inlineStr">
        <is>
          <t>WO.PACK</t>
        </is>
      </c>
      <c r="B63" s="2" t="inlineStr">
        <is>
          <t>Wood &gt; Wood packaging</t>
        </is>
      </c>
      <c r="C63" s="2" t="inlineStr">
        <is>
          <t>Wood packaging</t>
        </is>
      </c>
      <c r="D63" s="2" t="inlineStr">
        <is>
          <t>Packaging made of wood.</t>
        </is>
      </c>
      <c r="E63" s="2" t="inlineStr">
        <is>
          <t>Fost Plus</t>
        </is>
      </c>
      <c r="F63" s="2" t="inlineStr">
        <is>
          <t>016-01</t>
        </is>
      </c>
    </row>
    <row r="64">
      <c r="A64" s="2" t="inlineStr">
        <is>
          <t>WO.REUSE_SYS</t>
        </is>
      </c>
      <c r="B64" s="2" t="inlineStr">
        <is>
          <t>Wood &gt; Wood packaging &gt; Wood packaging — in systems for reuse</t>
        </is>
      </c>
      <c r="C64" s="2" t="inlineStr">
        <is>
          <t>Wood packaging — in systems for reuse</t>
        </is>
      </c>
      <c r="D64" s="2" t="inlineStr">
        <is>
          <t>Wood packaging in a reuse system.</t>
        </is>
      </c>
      <c r="E64" s="2" t="inlineStr">
        <is>
          <t>NPA Sweden</t>
        </is>
      </c>
      <c r="F64" s="2" t="inlineStr">
        <is>
          <t>7115/7215</t>
        </is>
      </c>
    </row>
    <row r="65">
      <c r="A65" s="2" t="inlineStr">
        <is>
          <t>WO.SINGLE_USE</t>
        </is>
      </c>
      <c r="B65" s="2" t="inlineStr">
        <is>
          <t>Wood &gt; Wood packaging &gt; Wood packaging — single-use</t>
        </is>
      </c>
      <c r="C65" s="2" t="inlineStr">
        <is>
          <t>Wood packaging — single-use</t>
        </is>
      </c>
      <c r="D65" s="2" t="inlineStr">
        <is>
          <t>Single-use wood packaging.</t>
        </is>
      </c>
      <c r="E65" s="2" t="inlineStr">
        <is>
          <t>NPA Sweden</t>
        </is>
      </c>
      <c r="F65" s="2" t="inlineStr">
        <is>
          <t>7110/7210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70" customWidth="1" min="4" max="4"/>
    <col width="16" customWidth="1" min="5" max="5"/>
    <col width="14" customWidth="1" min="6" max="6"/>
    <col width="16" customWidth="1" min="7" max="7"/>
    <col width="28" customWidth="1" min="8" max="8"/>
    <col width="22" customWidth="1" min="9" max="9"/>
    <col width="28" customWidth="1" min="10" max="10"/>
    <col width="18" customWidth="1" min="11" max="11"/>
    <col width="18" customWidth="1" min="12" max="12"/>
    <col width="36" customWidth="1" min="13" max="13"/>
    <col width="26" customWidth="1" min="14" max="14"/>
    <col width="45" customWidth="1" min="15" max="15"/>
  </cols>
  <sheetData>
    <row r="1">
      <c r="A1" s="1" t="inlineStr">
        <is>
          <t>PackID</t>
        </is>
      </c>
      <c r="B1" s="1" t="inlineStr">
        <is>
          <t>Packaging Name</t>
        </is>
      </c>
      <c r="C1" s="1" t="inlineStr">
        <is>
          <t>Packaging Group</t>
        </is>
      </c>
      <c r="D1" s="1" t="inlineStr">
        <is>
          <t>Materials (TaxonID + weight)</t>
        </is>
      </c>
      <c r="E1" s="1" t="inlineStr">
        <is>
          <t>Style</t>
        </is>
      </c>
      <c r="F1" s="1" t="inlineStr">
        <is>
          <t>Shape</t>
        </is>
      </c>
      <c r="G1" s="1" t="inlineStr">
        <is>
          <t>Size/Volume</t>
        </is>
      </c>
      <c r="H1" s="1" t="inlineStr">
        <is>
          <t>Dimensions</t>
        </is>
      </c>
      <c r="I1" s="1" t="inlineStr">
        <is>
          <t>Colours Available</t>
        </is>
      </c>
      <c r="J1" s="1" t="inlineStr">
        <is>
          <t>Recycled Content</t>
        </is>
      </c>
      <c r="K1" s="1" t="inlineStr">
        <is>
          <t>Total Pack Weight (g)</t>
        </is>
      </c>
      <c r="L1" s="1" t="inlineStr">
        <is>
          <t>Weight Basis</t>
        </is>
      </c>
      <c r="M1" s="1" t="inlineStr">
        <is>
          <t>Notes</t>
        </is>
      </c>
      <c r="N1" s="1" t="inlineStr">
        <is>
          <t>Example reference</t>
        </is>
      </c>
      <c r="O1" s="1" t="inlineStr">
        <is>
          <t>Source URL</t>
        </is>
      </c>
    </row>
    <row r="2">
      <c r="A2" s="2" t="inlineStr">
        <is>
          <t>PKG0001</t>
        </is>
      </c>
      <c r="B2" s="2" t="inlineStr">
        <is>
          <t>PET beverage bottle 330 mL (clear) + screw cap + label</t>
        </is>
      </c>
      <c r="C2" s="2" t="inlineStr">
        <is>
          <t>Primary</t>
        </is>
      </c>
      <c r="D2" s="2" t="inlineStr">
        <is>
          <t>PL.PET.BF.TR.CLEAR 21.0g (Bottle body); PL.PP.RIGID 2.0g (Cap); PA.MONO 0.6g (Label)</t>
        </is>
      </c>
      <c r="E2" s="2" t="inlineStr">
        <is>
          <t>Bottle</t>
        </is>
      </c>
      <c r="F2" s="2" t="inlineStr">
        <is>
          <t>Round</t>
        </is>
      </c>
      <c r="G2" s="2" t="inlineStr">
        <is>
          <t>330 mL</t>
        </is>
      </c>
      <c r="H2" s="2" t="inlineStr">
        <is>
          <t>H 164.6 mm; Ø 58 mm; finish 38mm</t>
        </is>
      </c>
      <c r="I2" s="2" t="inlineStr">
        <is>
          <t>Transparent (clear); optional tinted</t>
        </is>
      </c>
      <c r="J2" s="2" t="inlineStr">
        <is>
          <t>Variable (0–100% rPET; set per brand)</t>
        </is>
      </c>
      <c r="K2" s="2" t="n">
        <v>23.6</v>
      </c>
      <c r="L2" s="2" t="inlineStr">
        <is>
          <t>Bottle spec; cap/label estimate</t>
        </is>
      </c>
      <c r="M2" s="2" t="inlineStr">
        <is>
          <t>Baseline configuration for juices/RTD beverages.</t>
        </is>
      </c>
      <c r="N2" s="2" t="inlineStr">
        <is>
          <t>Berlin Packaging: Round Juice PET Bottle 330 mL</t>
        </is>
      </c>
      <c r="O2" s="2" t="inlineStr">
        <is>
          <t>https://berlinpackaging.eu/en-international/products/round-juice-pet-bottles-330-ml-38mm-3-s</t>
        </is>
      </c>
    </row>
    <row r="3">
      <c r="A3" s="2" t="inlineStr">
        <is>
          <t>PKG0002</t>
        </is>
      </c>
      <c r="B3" s="2" t="inlineStr">
        <is>
          <t>PET beverage bottle 500 mL (clear) + screw cap + label</t>
        </is>
      </c>
      <c r="C3" s="2" t="inlineStr">
        <is>
          <t>Primary</t>
        </is>
      </c>
      <c r="D3" s="2" t="inlineStr">
        <is>
          <t>PL.PET.BF.TR.CLEAR 24.0g (Bottle body); PL.PP.RIGID 1.8g (Cap); PA.MONO 0.7g (Label)</t>
        </is>
      </c>
      <c r="E3" s="2" t="inlineStr">
        <is>
          <t>Bottle</t>
        </is>
      </c>
      <c r="F3" s="2" t="inlineStr">
        <is>
          <t>Round</t>
        </is>
      </c>
      <c r="G3" s="2" t="inlineStr">
        <is>
          <t>500 mL</t>
        </is>
      </c>
      <c r="H3" s="2" t="inlineStr">
        <is>
          <t>Typical: H ~200 mm; Ø ~65 mm; finish 28mm</t>
        </is>
      </c>
      <c r="I3" s="2" t="inlineStr">
        <is>
          <t>Transparent (clear)</t>
        </is>
      </c>
      <c r="J3" s="2" t="inlineStr">
        <is>
          <t>Variable (0–100% rPET; set per brand)</t>
        </is>
      </c>
      <c r="K3" s="2" t="n">
        <v>26.5</v>
      </c>
      <c r="L3" s="2" t="inlineStr">
        <is>
          <t>Typical industry estimate</t>
        </is>
      </c>
      <c r="M3" s="2" t="inlineStr">
        <is>
          <t>Common single-serve water/soft drink size.</t>
        </is>
      </c>
      <c r="N3" s="2" t="inlineStr">
        <is>
          <t>Informed by Visy/industry beverage PET bottles list</t>
        </is>
      </c>
      <c r="O3" s="2" t="inlineStr">
        <is>
          <t>https://productcatalogue.visy.com/products?industry=beverage</t>
        </is>
      </c>
    </row>
    <row r="4">
      <c r="A4" s="2" t="inlineStr">
        <is>
          <t>PKG0003</t>
        </is>
      </c>
      <c r="B4" s="2" t="inlineStr">
        <is>
          <t>PET beverage bottle 1 L (clear) + screw cap + label</t>
        </is>
      </c>
      <c r="C4" s="2" t="inlineStr">
        <is>
          <t>Primary</t>
        </is>
      </c>
      <c r="D4" s="2" t="inlineStr">
        <is>
          <t>PL.PET.BF.TR.CLEAR 32.0g (Bottle body); PL.PP.RIGID 2.0g (Cap); PA.MONO 1.0g (Label)</t>
        </is>
      </c>
      <c r="E4" s="2" t="inlineStr">
        <is>
          <t>Bottle</t>
        </is>
      </c>
      <c r="F4" s="2" t="inlineStr">
        <is>
          <t>Round</t>
        </is>
      </c>
      <c r="G4" s="2" t="inlineStr">
        <is>
          <t>1 L</t>
        </is>
      </c>
      <c r="H4" s="2" t="inlineStr">
        <is>
          <t>Typical: H ~280 mm; Ø ~80 mm; finish 28mm</t>
        </is>
      </c>
      <c r="I4" s="2" t="inlineStr">
        <is>
          <t>Transparent (clear)</t>
        </is>
      </c>
      <c r="J4" s="2" t="inlineStr">
        <is>
          <t>Variable (0–100% rPET; set per brand)</t>
        </is>
      </c>
      <c r="K4" s="2" t="n">
        <v>35</v>
      </c>
      <c r="L4" s="2" t="inlineStr">
        <is>
          <t>Typical industry estimate</t>
        </is>
      </c>
      <c r="M4" s="2" t="inlineStr">
        <is>
          <t>Common juice/water format.</t>
        </is>
      </c>
      <c r="N4" s="2" t="inlineStr">
        <is>
          <t>Visy beverage bottles range (PET)</t>
        </is>
      </c>
      <c r="O4" s="2" t="inlineStr">
        <is>
          <t>https://productcatalogue.visy.com/products?industry=beverage</t>
        </is>
      </c>
    </row>
    <row r="5">
      <c r="A5" s="2" t="inlineStr">
        <is>
          <t>PKG0004</t>
        </is>
      </c>
      <c r="B5" s="2" t="inlineStr">
        <is>
          <t>PET beverage bottle 2 L (clear) + screw cap + label</t>
        </is>
      </c>
      <c r="C5" s="2" t="inlineStr">
        <is>
          <t>Primary</t>
        </is>
      </c>
      <c r="D5" s="2" t="inlineStr">
        <is>
          <t>PL.PET.BF.TR.CLEAR 52.0g (Bottle body); PL.PP.RIGID 2.2g (Cap); PA.MONO 1.4g (Label)</t>
        </is>
      </c>
      <c r="E5" s="2" t="inlineStr">
        <is>
          <t>Bottle</t>
        </is>
      </c>
      <c r="F5" s="2" t="inlineStr">
        <is>
          <t>Round</t>
        </is>
      </c>
      <c r="G5" s="2" t="inlineStr">
        <is>
          <t>2 L</t>
        </is>
      </c>
      <c r="H5" s="2" t="inlineStr">
        <is>
          <t>Typical: H ~320 mm; Ø ~110 mm; finish 28mm</t>
        </is>
      </c>
      <c r="I5" s="2" t="inlineStr">
        <is>
          <t>Transparent (clear)</t>
        </is>
      </c>
      <c r="J5" s="2" t="inlineStr">
        <is>
          <t>Variable (0–100% rPET; set per brand)</t>
        </is>
      </c>
      <c r="K5" s="2" t="n">
        <v>55.6</v>
      </c>
      <c r="L5" s="2" t="inlineStr">
        <is>
          <t>Typical industry estimate</t>
        </is>
      </c>
      <c r="M5" s="2" t="inlineStr">
        <is>
          <t>Common carbonated soft drink format.</t>
        </is>
      </c>
      <c r="N5" s="2" t="inlineStr">
        <is>
          <t>Visy beverage bottles range (PET)</t>
        </is>
      </c>
      <c r="O5" s="2" t="inlineStr">
        <is>
          <t>https://productcatalogue.visy.com/products?industry=beverage</t>
        </is>
      </c>
    </row>
    <row r="6">
      <c r="A6" s="2" t="inlineStr">
        <is>
          <t>PKG0005</t>
        </is>
      </c>
      <c r="B6" s="2" t="inlineStr">
        <is>
          <t>HDPE bottle 1 L (natural) + screw cap + label</t>
        </is>
      </c>
      <c r="C6" s="2" t="inlineStr">
        <is>
          <t>Primary</t>
        </is>
      </c>
      <c r="D6" s="2" t="inlineStr">
        <is>
          <t>PL.PE.RIGID 42.0g (Bottle body); PL.PP.RIGID 3.0g (Cap); PA.MONO 1.0g (Label)</t>
        </is>
      </c>
      <c r="E6" s="2" t="inlineStr">
        <is>
          <t>Bottle</t>
        </is>
      </c>
      <c r="F6" s="2" t="inlineStr">
        <is>
          <t>Rectangular</t>
        </is>
      </c>
      <c r="G6" s="2" t="inlineStr">
        <is>
          <t>1000 mL</t>
        </is>
      </c>
      <c r="H6" s="2" t="inlineStr">
        <is>
          <t>H 249 mm; W 82 mm; neck 33 mm</t>
        </is>
      </c>
      <c r="I6" s="2" t="inlineStr">
        <is>
          <t>Natural (translucent); optional pigmented</t>
        </is>
      </c>
      <c r="J6" s="2" t="inlineStr">
        <is>
          <t>Variable (0–100% rHDPE; set per brand)</t>
        </is>
      </c>
      <c r="K6" s="2" t="n">
        <v>46</v>
      </c>
      <c r="L6" s="2" t="inlineStr">
        <is>
          <t>Bottle spec; cap/label estimate</t>
        </is>
      </c>
      <c r="M6" s="2" t="inlineStr">
        <is>
          <t>Baseline for dairy, chemicals, household liquids.</t>
        </is>
      </c>
      <c r="N6" s="2" t="inlineStr">
        <is>
          <t>Amcor Packaging Solutions: 1000ml Bottle 783 HDPE</t>
        </is>
      </c>
      <c r="O6" s="2" t="inlineStr">
        <is>
          <t>https://packagingsolutions.amcor.com/en/product/product-item/1000ml-bottle-783-hdpe-pe-13469206</t>
        </is>
      </c>
    </row>
    <row r="7">
      <c r="A7" s="2" t="inlineStr">
        <is>
          <t>PKG0006</t>
        </is>
      </c>
      <c r="B7" s="2" t="inlineStr">
        <is>
          <t>HDPE jerry can 10 L + cap + label</t>
        </is>
      </c>
      <c r="C7" s="2" t="inlineStr">
        <is>
          <t>Primary</t>
        </is>
      </c>
      <c r="D7" s="2" t="inlineStr">
        <is>
          <t>PL.PE.RIGID 350.0g (Can body); PL.PP.RIGID 12.0g (Cap); PA.MONO 2.0g (Label)</t>
        </is>
      </c>
      <c r="E7" s="2" t="inlineStr">
        <is>
          <t>Jerry can</t>
        </is>
      </c>
      <c r="F7" s="2" t="inlineStr">
        <is>
          <t>Rectangular</t>
        </is>
      </c>
      <c r="G7" s="2" t="inlineStr">
        <is>
          <t>10 L</t>
        </is>
      </c>
      <c r="H7" s="2" t="inlineStr">
        <is>
          <t>Typical: H ~320 mm; W ~230 mm; D ~190 mm; neck ~45mm</t>
        </is>
      </c>
      <c r="I7" s="2" t="inlineStr">
        <is>
          <t>Natural; black; blue</t>
        </is>
      </c>
      <c r="J7" s="2" t="inlineStr">
        <is>
          <t>Variable (0–100% rHDPE; set per brand)</t>
        </is>
      </c>
      <c r="K7" s="2" t="n">
        <v>364</v>
      </c>
      <c r="L7" s="2" t="inlineStr">
        <is>
          <t>Typical estimate</t>
        </is>
      </c>
      <c r="M7" s="2" t="inlineStr">
        <is>
          <t>Transport packaging for oils, chemicals, water.</t>
        </is>
      </c>
      <c r="N7" s="2" t="inlineStr">
        <is>
          <t>Visy non-food jerry cans list</t>
        </is>
      </c>
      <c r="O7" s="2" t="inlineStr">
        <is>
          <t>https://productcatalogue.visy.com/products?industry=non-food</t>
        </is>
      </c>
    </row>
    <row r="8">
      <c r="A8" s="2" t="inlineStr">
        <is>
          <t>PKG0007</t>
        </is>
      </c>
      <c r="B8" s="2" t="inlineStr">
        <is>
          <t>PP yoghurt pot 150 g + foil lid + paper sleeve</t>
        </is>
      </c>
      <c r="C8" s="2" t="inlineStr">
        <is>
          <t>Primary</t>
        </is>
      </c>
      <c r="D8" s="2" t="inlineStr">
        <is>
          <t>PL.PP.RIGID 6.0g (Tub body); ME.ALU.THIN 1.0g (Lid (foil)); PA.MONO 1.0g (Sleeve/label)</t>
        </is>
      </c>
      <c r="E8" s="2" t="inlineStr">
        <is>
          <t>Tub</t>
        </is>
      </c>
      <c r="F8" s="2" t="inlineStr">
        <is>
          <t>Round</t>
        </is>
      </c>
      <c r="G8" s="2" t="inlineStr">
        <is>
          <t>150 g / ~150 mL</t>
        </is>
      </c>
      <c r="H8" s="2" t="inlineStr">
        <is>
          <t>Typical: H 60 mm; Ø top 75 mm</t>
        </is>
      </c>
      <c r="I8" s="2" t="inlineStr">
        <is>
          <t>White; translucent; coloured</t>
        </is>
      </c>
      <c r="J8" s="2" t="inlineStr">
        <is>
          <t>Typically low; varies by market</t>
        </is>
      </c>
      <c r="K8" s="2" t="n">
        <v>8</v>
      </c>
      <c r="L8" s="2" t="inlineStr">
        <is>
          <t>Typical estimate</t>
        </is>
      </c>
      <c r="M8" s="2" t="inlineStr">
        <is>
          <t>Small dairy tub with foil lid.</t>
        </is>
      </c>
      <c r="N8" s="2" t="inlineStr">
        <is>
          <t>Amcor/industry dairy tubs (generic)</t>
        </is>
      </c>
      <c r="O8" s="2" t="inlineStr">
        <is>
          <t>https://www.amcor.com/products/search</t>
        </is>
      </c>
    </row>
    <row r="9">
      <c r="A9" s="2" t="inlineStr">
        <is>
          <t>PKG0008</t>
        </is>
      </c>
      <c r="B9" s="2" t="inlineStr">
        <is>
          <t>PP yoghurt pot 500 g + foil lid + label</t>
        </is>
      </c>
      <c r="C9" s="2" t="inlineStr">
        <is>
          <t>Primary</t>
        </is>
      </c>
      <c r="D9" s="2" t="inlineStr">
        <is>
          <t>PL.PP.RIGID 14.0g (Tub body); ME.ALU.THIN 1.5g (Lid (foil)); PA.MONO 1.2g (Label)</t>
        </is>
      </c>
      <c r="E9" s="2" t="inlineStr">
        <is>
          <t>Tub</t>
        </is>
      </c>
      <c r="F9" s="2" t="inlineStr">
        <is>
          <t>Round</t>
        </is>
      </c>
      <c r="G9" s="2" t="inlineStr">
        <is>
          <t>500 g / ~500 mL</t>
        </is>
      </c>
      <c r="H9" s="2" t="inlineStr">
        <is>
          <t>Typical: H 85 mm; Ø top 110 mm</t>
        </is>
      </c>
      <c r="I9" s="2" t="inlineStr">
        <is>
          <t>White; coloured</t>
        </is>
      </c>
      <c r="J9" s="2" t="inlineStr">
        <is>
          <t>Typically low; varies by market</t>
        </is>
      </c>
      <c r="K9" s="2" t="n">
        <v>16.7</v>
      </c>
      <c r="L9" s="2" t="inlineStr">
        <is>
          <t>Typical estimate</t>
        </is>
      </c>
      <c r="M9" s="2" t="inlineStr">
        <is>
          <t>Family-size dairy tub.</t>
        </is>
      </c>
      <c r="N9" s="2" t="inlineStr">
        <is>
          <t>Amcor/industry dairy tubs (generic)</t>
        </is>
      </c>
      <c r="O9" s="2" t="inlineStr">
        <is>
          <t>https://www.amcor.com/products/search</t>
        </is>
      </c>
    </row>
    <row r="10">
      <c r="A10" s="2" t="inlineStr">
        <is>
          <t>PKG0009</t>
        </is>
      </c>
      <c r="B10" s="2" t="inlineStr">
        <is>
          <t>PET thermoformed meat tray 500 g + lidding film + absorbent pad</t>
        </is>
      </c>
      <c r="C10" s="2" t="inlineStr">
        <is>
          <t>Primary</t>
        </is>
      </c>
      <c r="D10" s="2" t="inlineStr">
        <is>
          <t>PL.PET.THERMO.OPAQUE 18.0g (Tray); PL.PE.FILM 2.0g (Lidding film); PA.MONO 1.5g (Absorbent pad)</t>
        </is>
      </c>
      <c r="E10" s="2" t="inlineStr">
        <is>
          <t>Tray</t>
        </is>
      </c>
      <c r="F10" s="2" t="inlineStr">
        <is>
          <t>Rectangular</t>
        </is>
      </c>
      <c r="G10" s="2" t="inlineStr">
        <is>
          <t>Holds ~500 g</t>
        </is>
      </c>
      <c r="H10" s="2" t="inlineStr">
        <is>
          <t>Typical: 230 x 160 x 35 mm</t>
        </is>
      </c>
      <c r="I10" s="2" t="inlineStr">
        <is>
          <t>Black; clear</t>
        </is>
      </c>
      <c r="J10" s="2" t="inlineStr">
        <is>
          <t>Variable (0–100% rPET for tray)</t>
        </is>
      </c>
      <c r="K10" s="2" t="n">
        <v>21.5</v>
      </c>
      <c r="L10" s="2" t="inlineStr">
        <is>
          <t>Typical estimate</t>
        </is>
      </c>
      <c r="M10" s="2" t="inlineStr">
        <is>
          <t>MAP-ready tray format.</t>
        </is>
      </c>
      <c r="N10" s="2" t="inlineStr">
        <is>
          <t>Amcor/Visy meat packaging solutions (generic)</t>
        </is>
      </c>
      <c r="O10" s="2" t="inlineStr">
        <is>
          <t>https://productcatalogue.visy.com/products?industry=meat</t>
        </is>
      </c>
    </row>
    <row r="11">
      <c r="A11" s="2" t="inlineStr">
        <is>
          <t>PKG0010</t>
        </is>
      </c>
      <c r="B11" s="2" t="inlineStr">
        <is>
          <t>EPS foam tray (meat) + overwrap film</t>
        </is>
      </c>
      <c r="C11" s="2" t="inlineStr">
        <is>
          <t>Primary</t>
        </is>
      </c>
      <c r="D11" s="2" t="inlineStr">
        <is>
          <t>PL.PS.EPS 6.0g (Tray); PL.PE.FILM 1.5g (Overwrap film)</t>
        </is>
      </c>
      <c r="E11" s="2" t="inlineStr">
        <is>
          <t>Tray</t>
        </is>
      </c>
      <c r="F11" s="2" t="inlineStr">
        <is>
          <t>Rectangular</t>
        </is>
      </c>
      <c r="G11" s="2" t="inlineStr">
        <is>
          <t>Holds ~500 g</t>
        </is>
      </c>
      <c r="H11" s="2" t="inlineStr">
        <is>
          <t>Typical: 225 x 150 x 25 mm</t>
        </is>
      </c>
      <c r="I11" s="2" t="inlineStr">
        <is>
          <t>White; black</t>
        </is>
      </c>
      <c r="J11" s="2" t="inlineStr">
        <is>
          <t>Typically low; varies by market</t>
        </is>
      </c>
      <c r="K11" s="2" t="n">
        <v>7.5</v>
      </c>
      <c r="L11" s="2" t="inlineStr">
        <is>
          <t>Typical estimate</t>
        </is>
      </c>
      <c r="M11" s="2" t="inlineStr">
        <is>
          <t>Legacy format; often restricted in some markets.</t>
        </is>
      </c>
      <c r="N11" s="2" t="inlineStr">
        <is>
          <t>Industry baseline</t>
        </is>
      </c>
      <c r="O11" s="2" t="inlineStr">
        <is>
          <t>https://www.amcor.com/products/search</t>
        </is>
      </c>
    </row>
    <row r="12">
      <c r="A12" s="2" t="inlineStr">
        <is>
          <t>PKG0011</t>
        </is>
      </c>
      <c r="B12" s="2" t="inlineStr">
        <is>
          <t>Glass beer bottle 330 mL (amber) + crown cap + label</t>
        </is>
      </c>
      <c r="C12" s="2" t="inlineStr">
        <is>
          <t>Primary</t>
        </is>
      </c>
      <c r="D12" s="2" t="inlineStr">
        <is>
          <t>GL.BOTTLES_JARS 200.0g (Bottle body); ME.STEEL 3.0g (Crown cap); PA.MONO 1.2g (Label)</t>
        </is>
      </c>
      <c r="E12" s="2" t="inlineStr">
        <is>
          <t>Bottle</t>
        </is>
      </c>
      <c r="F12" s="2" t="inlineStr">
        <is>
          <t>Round</t>
        </is>
      </c>
      <c r="G12" s="2" t="inlineStr">
        <is>
          <t>330 mL</t>
        </is>
      </c>
      <c r="H12" s="2" t="inlineStr">
        <is>
          <t>H 226 mm; Ø 60 mm; finish CR 26</t>
        </is>
      </c>
      <c r="I12" s="2" t="inlineStr">
        <is>
          <t>Amber; green; flint</t>
        </is>
      </c>
      <c r="J12" s="2" t="inlineStr">
        <is>
          <t>Variable (glass cullet % varies); set per region</t>
        </is>
      </c>
      <c r="K12" s="2" t="n">
        <v>204.2</v>
      </c>
      <c r="L12" s="2" t="inlineStr">
        <is>
          <t>Bottle spec; cap/label estimate</t>
        </is>
      </c>
      <c r="M12" s="2" t="inlineStr">
        <is>
          <t>Long-neck beer bottle.</t>
        </is>
      </c>
      <c r="N12" s="2" t="inlineStr">
        <is>
          <t>Berlin Packaging: Long Neck SE 330ml CR 26 Amber</t>
        </is>
      </c>
      <c r="O12" s="2" t="inlineStr">
        <is>
          <t>https://berlinpackaging.eu/en-international/products/long-neck-se-330ml-cr-26-amber-1</t>
        </is>
      </c>
    </row>
    <row r="13">
      <c r="A13" s="2" t="inlineStr">
        <is>
          <t>PKG0012</t>
        </is>
      </c>
      <c r="B13" s="2" t="inlineStr">
        <is>
          <t>Glass beverage bottle 375 mL (amber) + cap + label</t>
        </is>
      </c>
      <c r="C13" s="2" t="inlineStr">
        <is>
          <t>Primary</t>
        </is>
      </c>
      <c r="D13" s="2" t="inlineStr">
        <is>
          <t>GL.BOTTLES_JARS 195.0g (Bottle body); ME.ALU.THIN 2.5g (Cap); PA.MONO 1.2g (Label)</t>
        </is>
      </c>
      <c r="E13" s="2" t="inlineStr">
        <is>
          <t>Bottle</t>
        </is>
      </c>
      <c r="F13" s="2" t="inlineStr">
        <is>
          <t>Round</t>
        </is>
      </c>
      <c r="G13" s="2" t="inlineStr">
        <is>
          <t>375 mL</t>
        </is>
      </c>
      <c r="H13" s="2" t="inlineStr">
        <is>
          <t>H 167.4 mm; Ø 69.5 mm; finish 28mm</t>
        </is>
      </c>
      <c r="I13" s="2" t="inlineStr">
        <is>
          <t>Amber</t>
        </is>
      </c>
      <c r="J13" s="2" t="inlineStr">
        <is>
          <t>Variable (glass cullet % varies); set per region</t>
        </is>
      </c>
      <c r="K13" s="2" t="n">
        <v>198.7</v>
      </c>
      <c r="L13" s="2" t="inlineStr">
        <is>
          <t>Bottle spec; cap/label estimate</t>
        </is>
      </c>
      <c r="M13" s="2" t="inlineStr">
        <is>
          <t>Baseline amber bottle format (shorter profile).</t>
        </is>
      </c>
      <c r="N13" s="2" t="inlineStr">
        <is>
          <t>Visy: 375ml N/r Beverage 30499 (AU)</t>
        </is>
      </c>
      <c r="O13" s="2" t="inlineStr">
        <is>
          <t>https://productcatalogue.visy.com/products/375ml-n-r-beverage</t>
        </is>
      </c>
    </row>
    <row r="14">
      <c r="A14" s="2" t="inlineStr">
        <is>
          <t>PKG0013</t>
        </is>
      </c>
      <c r="B14" s="2" t="inlineStr">
        <is>
          <t>Glass wine bottle 750 mL + cork + capsule + label</t>
        </is>
      </c>
      <c r="C14" s="2" t="inlineStr">
        <is>
          <t>Primary</t>
        </is>
      </c>
      <c r="D14" s="2" t="inlineStr">
        <is>
          <t>GL.BOTTLES_JARS 500.0g (Bottle body); OT.CORK 4.0g (Cork); ME.ALU.THIN 1.5g (Capsule); PA.MONO 1.5g (Label)</t>
        </is>
      </c>
      <c r="E14" s="2" t="inlineStr">
        <is>
          <t>Bottle</t>
        </is>
      </c>
      <c r="F14" s="2" t="inlineStr">
        <is>
          <t>Round</t>
        </is>
      </c>
      <c r="G14" s="2" t="inlineStr">
        <is>
          <t>750 mL</t>
        </is>
      </c>
      <c r="H14" s="2" t="inlineStr">
        <is>
          <t>Typical: H 300 mm; Ø 75 mm</t>
        </is>
      </c>
      <c r="I14" s="2" t="inlineStr">
        <is>
          <t>Green; flint; amber</t>
        </is>
      </c>
      <c r="J14" s="2" t="inlineStr">
        <is>
          <t>Variable (glass cullet % varies); set per region</t>
        </is>
      </c>
      <c r="K14" s="2" t="n">
        <v>507</v>
      </c>
      <c r="L14" s="2" t="inlineStr">
        <is>
          <t>Typical estimate</t>
        </is>
      </c>
      <c r="M14" s="2" t="inlineStr">
        <is>
          <t>Standard Bordeaux-style wine bottle.</t>
        </is>
      </c>
      <c r="N14" s="2" t="inlineStr">
        <is>
          <t>Berlin Packaging catalog (wine bottles)</t>
        </is>
      </c>
      <c r="O14" s="2" t="inlineStr">
        <is>
          <t>https://berlinpackaging.eu/en-gb/catalog</t>
        </is>
      </c>
    </row>
    <row r="15">
      <c r="A15" s="2" t="inlineStr">
        <is>
          <t>PKG0014</t>
        </is>
      </c>
      <c r="B15" s="2" t="inlineStr">
        <is>
          <t>Glass jar 370 mL (flint) + twist-off lid + label</t>
        </is>
      </c>
      <c r="C15" s="2" t="inlineStr">
        <is>
          <t>Primary</t>
        </is>
      </c>
      <c r="D15" s="2" t="inlineStr">
        <is>
          <t>GL.BOTTLES_JARS 195.0g (Jar body); ME.STEEL 10.0g (Twist-off lid); PA.MONO 1.0g (Label)</t>
        </is>
      </c>
      <c r="E15" s="2" t="inlineStr">
        <is>
          <t>Jar</t>
        </is>
      </c>
      <c r="F15" s="2" t="inlineStr">
        <is>
          <t>Round</t>
        </is>
      </c>
      <c r="G15" s="2" t="inlineStr">
        <is>
          <t>370 mL</t>
        </is>
      </c>
      <c r="H15" s="2" t="inlineStr">
        <is>
          <t>H 131 mm; Ø 71.3 mm; finish TO 63</t>
        </is>
      </c>
      <c r="I15" s="2" t="inlineStr">
        <is>
          <t>Flint; optional coloured glass</t>
        </is>
      </c>
      <c r="J15" s="2" t="inlineStr">
        <is>
          <t>Variable (glass cullet % varies); set per region</t>
        </is>
      </c>
      <c r="K15" s="2" t="n">
        <v>206</v>
      </c>
      <c r="L15" s="2" t="inlineStr">
        <is>
          <t>Jar spec; lid/label estimate</t>
        </is>
      </c>
      <c r="M15" s="2" t="inlineStr">
        <is>
          <t>Common jam/sauce jar size.</t>
        </is>
      </c>
      <c r="N15" s="2" t="inlineStr">
        <is>
          <t>Berlin Packaging: Atlas 370ml TO 63 REG Flint</t>
        </is>
      </c>
      <c r="O15" s="2" t="inlineStr">
        <is>
          <t>https://berlinpackaging.eu/en-international/products/atlas-370ml-to-63-reg-flint</t>
        </is>
      </c>
    </row>
    <row r="16">
      <c r="A16" s="2" t="inlineStr">
        <is>
          <t>PKG0015</t>
        </is>
      </c>
      <c r="B16" s="2" t="inlineStr">
        <is>
          <t>Glass jar 720 mL + twist-off lid + label</t>
        </is>
      </c>
      <c r="C16" s="2" t="inlineStr">
        <is>
          <t>Primary</t>
        </is>
      </c>
      <c r="D16" s="2" t="inlineStr">
        <is>
          <t>GL.BOTTLES_JARS 320.0g (Jar body); ME.STEEL 14.0g (Twist-off lid); PA.MONO 1.2g (Label)</t>
        </is>
      </c>
      <c r="E16" s="2" t="inlineStr">
        <is>
          <t>Jar</t>
        </is>
      </c>
      <c r="F16" s="2" t="inlineStr">
        <is>
          <t>Round</t>
        </is>
      </c>
      <c r="G16" s="2" t="inlineStr">
        <is>
          <t>720 mL</t>
        </is>
      </c>
      <c r="H16" s="2" t="inlineStr">
        <is>
          <t>Typical: H 150 mm; Ø 95 mm; finish TO 82</t>
        </is>
      </c>
      <c r="I16" s="2" t="inlineStr">
        <is>
          <t>Flint</t>
        </is>
      </c>
      <c r="J16" s="2" t="inlineStr">
        <is>
          <t>Variable (glass cullet % varies); set per region</t>
        </is>
      </c>
      <c r="K16" s="2" t="n">
        <v>335.2</v>
      </c>
      <c r="L16" s="2" t="inlineStr">
        <is>
          <t>Typical estimate</t>
        </is>
      </c>
      <c r="M16" s="2" t="inlineStr">
        <is>
          <t>Pickles/pasta sauce jar.</t>
        </is>
      </c>
      <c r="N16" s="2" t="inlineStr">
        <is>
          <t>Berlin Packaging catalog (jars)</t>
        </is>
      </c>
      <c r="O16" s="2" t="inlineStr">
        <is>
          <t>https://berlinpackaging.eu/en-gb/catalog</t>
        </is>
      </c>
    </row>
    <row r="17">
      <c r="A17" s="2" t="inlineStr">
        <is>
          <t>PKG0016</t>
        </is>
      </c>
      <c r="B17" s="2" t="inlineStr">
        <is>
          <t>Aluminium beverage can 330 mL (standard)</t>
        </is>
      </c>
      <c r="C17" s="2" t="inlineStr">
        <is>
          <t>Primary</t>
        </is>
      </c>
      <c r="D17" s="2" t="inlineStr">
        <is>
          <t>ME.ALU.THICK 12.99g (Can (body+end)); OT.OTHER_PACK 0.2g (Inks/coatings)</t>
        </is>
      </c>
      <c r="E17" s="2" t="inlineStr">
        <is>
          <t>Can</t>
        </is>
      </c>
      <c r="F17" s="2" t="inlineStr">
        <is>
          <t>Cylindrical</t>
        </is>
      </c>
      <c r="G17" s="2" t="inlineStr">
        <is>
          <t>330 mL</t>
        </is>
      </c>
      <c r="H17" s="2" t="inlineStr">
        <is>
          <t>Typical: H 115 mm; Ø 66 mm</t>
        </is>
      </c>
      <c r="I17" s="2" t="inlineStr">
        <is>
          <t>Printed (CMYK)</t>
        </is>
      </c>
      <c r="J17" s="2" t="inlineStr">
        <is>
          <t>Baseline default: 73% recycled content (industry average; adjust by region)</t>
        </is>
      </c>
      <c r="K17" s="2" t="n">
        <v>13.19</v>
      </c>
      <c r="L17" s="2" t="inlineStr">
        <is>
          <t>Industry average metallic weight</t>
        </is>
      </c>
      <c r="M17" s="2" t="inlineStr">
        <is>
          <t>Includes body + end; inks not separated.</t>
        </is>
      </c>
      <c r="N17" s="2" t="inlineStr">
        <is>
          <t>Aluminum Association / CMI LCA toolkit (average can weight)</t>
        </is>
      </c>
      <c r="O17" s="2" t="inlineStr">
        <is>
          <t>https://www.aluminum.org/sites/default/files/2021-11/2021_Can-LCA_TECHNICAL-toolkit.pdf</t>
        </is>
      </c>
    </row>
    <row r="18">
      <c r="A18" s="2" t="inlineStr">
        <is>
          <t>PKG0017</t>
        </is>
      </c>
      <c r="B18" s="2" t="inlineStr">
        <is>
          <t>Aluminium beverage can 500 mL (tall)</t>
        </is>
      </c>
      <c r="C18" s="2" t="inlineStr">
        <is>
          <t>Primary</t>
        </is>
      </c>
      <c r="D18" s="2" t="inlineStr">
        <is>
          <t>ME.ALU.THICK 16.0g (Can (body+end)); OT.OTHER_PACK 0.25g (Inks/coatings)</t>
        </is>
      </c>
      <c r="E18" s="2" t="inlineStr">
        <is>
          <t>Can</t>
        </is>
      </c>
      <c r="F18" s="2" t="inlineStr">
        <is>
          <t>Cylindrical</t>
        </is>
      </c>
      <c r="G18" s="2" t="inlineStr">
        <is>
          <t>500 mL</t>
        </is>
      </c>
      <c r="H18" s="2" t="inlineStr">
        <is>
          <t>Typical: H 168 mm; Ø 66 mm</t>
        </is>
      </c>
      <c r="I18" s="2" t="inlineStr">
        <is>
          <t>Printed (CMYK)</t>
        </is>
      </c>
      <c r="J18" s="2" t="inlineStr">
        <is>
          <t>Baseline default: 73% recycled content (industry average; adjust by region)</t>
        </is>
      </c>
      <c r="K18" s="2" t="n">
        <v>16.25</v>
      </c>
      <c r="L18" s="2" t="inlineStr">
        <is>
          <t>Typical estimate</t>
        </is>
      </c>
      <c r="M18" s="2" t="inlineStr">
        <is>
          <t>Weight varies by lightweighting and end type.</t>
        </is>
      </c>
      <c r="N18" s="2" t="inlineStr">
        <is>
          <t>Industry baseline</t>
        </is>
      </c>
      <c r="O18" s="2" t="inlineStr">
        <is>
          <t>https://www.aluminum.org/news/new-report-shows-40-reduction-aluminum-can-production-carbon-intensity-1990s</t>
        </is>
      </c>
    </row>
    <row r="19">
      <c r="A19" s="2" t="inlineStr">
        <is>
          <t>PKG0018</t>
        </is>
      </c>
      <c r="B19" s="2" t="inlineStr">
        <is>
          <t>Steel food can (tinplate) ~400 g contents + easy-open end</t>
        </is>
      </c>
      <c r="C19" s="2" t="inlineStr">
        <is>
          <t>Primary</t>
        </is>
      </c>
      <c r="D19" s="2" t="inlineStr">
        <is>
          <t>ME.STEEL 45.0g (Can body+end); PA.MONO 1.0g (Label)</t>
        </is>
      </c>
      <c r="E19" s="2" t="inlineStr">
        <is>
          <t>Can</t>
        </is>
      </c>
      <c r="F19" s="2" t="inlineStr">
        <is>
          <t>Cylindrical</t>
        </is>
      </c>
      <c r="G19" s="2" t="inlineStr">
        <is>
          <t>Net content ~400 g</t>
        </is>
      </c>
      <c r="H19" s="2" t="inlineStr">
        <is>
          <t>Typical: Ø 73 mm x H 110 mm (#303x406)</t>
        </is>
      </c>
      <c r="I19" s="2" t="inlineStr">
        <is>
          <t>Printed or label</t>
        </is>
      </c>
      <c r="J19" s="2" t="inlineStr">
        <is>
          <t>Variable; high recycled content typical; set per supplier</t>
        </is>
      </c>
      <c r="K19" s="2" t="n">
        <v>46</v>
      </c>
      <c r="L19" s="2" t="inlineStr">
        <is>
          <t>Typical estimate</t>
        </is>
      </c>
      <c r="M19" s="2" t="inlineStr">
        <is>
          <t>Tinplate body + steel end; may include label.</t>
        </is>
      </c>
      <c r="N19" s="2" t="inlineStr">
        <is>
          <t>General standard size referenced for 400g tins</t>
        </is>
      </c>
      <c r="O19" s="2" t="inlineStr">
        <is>
          <t>https://en.wikipedia.org/wiki/Steel_and_tin_cans</t>
        </is>
      </c>
    </row>
    <row r="20">
      <c r="A20" s="2" t="inlineStr">
        <is>
          <t>PKG0019</t>
        </is>
      </c>
      <c r="B20" s="2" t="inlineStr">
        <is>
          <t>Steel food can (tinplate) ~800 g contents + end</t>
        </is>
      </c>
      <c r="C20" s="2" t="inlineStr">
        <is>
          <t>Primary</t>
        </is>
      </c>
      <c r="D20" s="2" t="inlineStr">
        <is>
          <t>ME.STEEL 65.0g (Can body+end); PA.MONO 1.2g (Label)</t>
        </is>
      </c>
      <c r="E20" s="2" t="inlineStr">
        <is>
          <t>Can</t>
        </is>
      </c>
      <c r="F20" s="2" t="inlineStr">
        <is>
          <t>Cylindrical</t>
        </is>
      </c>
      <c r="G20" s="2" t="inlineStr">
        <is>
          <t>Net content ~800 g</t>
        </is>
      </c>
      <c r="H20" s="2" t="inlineStr">
        <is>
          <t>Typical: Ø 99 mm x H 118 mm</t>
        </is>
      </c>
      <c r="I20" s="2" t="inlineStr">
        <is>
          <t>Printed or label</t>
        </is>
      </c>
      <c r="J20" s="2" t="inlineStr">
        <is>
          <t>Variable; high recycled content typical; set per supplier</t>
        </is>
      </c>
      <c r="K20" s="2" t="n">
        <v>66.2</v>
      </c>
      <c r="L20" s="2" t="inlineStr">
        <is>
          <t>Typical estimate</t>
        </is>
      </c>
      <c r="M20" s="2" t="inlineStr">
        <is>
          <t>Large food can.</t>
        </is>
      </c>
      <c r="N20" s="2" t="inlineStr">
        <is>
          <t>Industry baseline</t>
        </is>
      </c>
      <c r="O20" s="2" t="inlineStr">
        <is>
          <t>https://en.wikipedia.org/wiki/Steel_and_tin_cans</t>
        </is>
      </c>
    </row>
    <row r="21">
      <c r="A21" s="2" t="inlineStr">
        <is>
          <t>PKG0020</t>
        </is>
      </c>
      <c r="B21" s="2" t="inlineStr">
        <is>
          <t>Beverage carton 1 L (paperboard/PE/Al) + HDPE cap</t>
        </is>
      </c>
      <c r="C21" s="2" t="inlineStr">
        <is>
          <t>Primary</t>
        </is>
      </c>
      <c r="D21" s="2" t="inlineStr">
        <is>
          <t>PA.MONO 24.5g (Paperboard layer); PL.PE.FILM 9.1g (PE layers); ME.ALU.THIN 1.4g (Aluminium barrier); PL.PE.RIGID 1.5g (Cap)</t>
        </is>
      </c>
      <c r="E21" s="2" t="inlineStr">
        <is>
          <t>Carton</t>
        </is>
      </c>
      <c r="F21" s="2" t="inlineStr">
        <is>
          <t>Brick</t>
        </is>
      </c>
      <c r="G21" s="2" t="inlineStr">
        <is>
          <t>1 L</t>
        </is>
      </c>
      <c r="H21" s="2" t="inlineStr">
        <is>
          <t>Typical: 70 x 70 x 235 mm</t>
        </is>
      </c>
      <c r="I21" s="2" t="inlineStr">
        <is>
          <t>Printed</t>
        </is>
      </c>
      <c r="J21" s="2" t="inlineStr">
        <is>
          <t>Variable; fibre often FSC; recycled content depends on supply</t>
        </is>
      </c>
      <c r="K21" s="2" t="n">
        <v>36.5</v>
      </c>
      <c r="L21" s="2" t="inlineStr">
        <is>
          <t>Literature average; cap from benchmarking</t>
        </is>
      </c>
      <c r="M21" s="2" t="inlineStr">
        <is>
          <t>Composite carton structure for long-life liquids.</t>
        </is>
      </c>
      <c r="N21" s="2" t="inlineStr">
        <is>
          <t>Composite carton composition and weight references</t>
        </is>
      </c>
      <c r="O21" s="2" t="inlineStr">
        <is>
          <t>https://sciencex.com/wire-news/315565222/bio-based-beverage-cartons.html</t>
        </is>
      </c>
    </row>
    <row r="22">
      <c r="A22" s="2" t="inlineStr">
        <is>
          <t>PKG0021</t>
        </is>
      </c>
      <c r="B22" s="2" t="inlineStr">
        <is>
          <t>Stand-up pouch 250 g (laminate) + zipper</t>
        </is>
      </c>
      <c r="C22" s="2" t="inlineStr">
        <is>
          <t>Primary</t>
        </is>
      </c>
      <c r="D22" s="2" t="inlineStr">
        <is>
          <t>PL.FLEX 9.0g (Pouch film (laminate)); PL.PP.RIGID 1.0g (Zipper)</t>
        </is>
      </c>
      <c r="E22" s="2" t="inlineStr">
        <is>
          <t>Pouch</t>
        </is>
      </c>
      <c r="F22" s="2" t="inlineStr">
        <is>
          <t>Doypack</t>
        </is>
      </c>
      <c r="G22" s="2" t="inlineStr">
        <is>
          <t>250 g / ~250 mL</t>
        </is>
      </c>
      <c r="H22" s="2" t="inlineStr">
        <is>
          <t>Typical: 160 x 230 mm; gusset 45 mm</t>
        </is>
      </c>
      <c r="I22" s="2" t="inlineStr">
        <is>
          <t>Printed</t>
        </is>
      </c>
      <c r="J22" s="2" t="inlineStr">
        <is>
          <t>Typically low; increasing via mono-material designs</t>
        </is>
      </c>
      <c r="K22" s="2" t="n">
        <v>10</v>
      </c>
      <c r="L22" s="2" t="inlineStr">
        <is>
          <t>Typical estimate</t>
        </is>
      </c>
      <c r="M22" s="2" t="inlineStr">
        <is>
          <t>Mapped to plastic flexible due to laminate variability.</t>
        </is>
      </c>
      <c r="N22" s="2" t="inlineStr">
        <is>
          <t>Amcor flexible packaging products (pouches)</t>
        </is>
      </c>
      <c r="O22" s="2" t="inlineStr">
        <is>
          <t>https://www.amcor.com/products/search</t>
        </is>
      </c>
    </row>
    <row r="23">
      <c r="A23" s="2" t="inlineStr">
        <is>
          <t>PKG0022</t>
        </is>
      </c>
      <c r="B23" s="2" t="inlineStr">
        <is>
          <t>Stand-up pouch 500 g (laminate) + zipper</t>
        </is>
      </c>
      <c r="C23" s="2" t="inlineStr">
        <is>
          <t>Primary</t>
        </is>
      </c>
      <c r="D23" s="2" t="inlineStr">
        <is>
          <t>PL.FLEX 15.0g (Pouch film (laminate)); PL.PP.RIGID 1.3g (Zipper)</t>
        </is>
      </c>
      <c r="E23" s="2" t="inlineStr">
        <is>
          <t>Pouch</t>
        </is>
      </c>
      <c r="F23" s="2" t="inlineStr">
        <is>
          <t>Doypack</t>
        </is>
      </c>
      <c r="G23" s="2" t="inlineStr">
        <is>
          <t>500 g / ~500 mL</t>
        </is>
      </c>
      <c r="H23" s="2" t="inlineStr">
        <is>
          <t>Typical: 200 x 280 mm; gusset 60 mm</t>
        </is>
      </c>
      <c r="I23" s="2" t="inlineStr">
        <is>
          <t>Printed</t>
        </is>
      </c>
      <c r="J23" s="2" t="inlineStr">
        <is>
          <t>Typically low; increasing via mono-material designs</t>
        </is>
      </c>
      <c r="K23" s="2" t="n">
        <v>16.3</v>
      </c>
      <c r="L23" s="2" t="inlineStr">
        <is>
          <t>Typical estimate</t>
        </is>
      </c>
      <c r="M23" s="2" t="inlineStr">
        <is>
          <t>Mapped to plastic flexible due to laminate variability.</t>
        </is>
      </c>
      <c r="N23" s="2" t="inlineStr">
        <is>
          <t>Amcor flexible packaging products (pouches)</t>
        </is>
      </c>
      <c r="O23" s="2" t="inlineStr">
        <is>
          <t>https://www.amcor.com/products/search</t>
        </is>
      </c>
    </row>
    <row r="24">
      <c r="A24" s="2" t="inlineStr">
        <is>
          <t>PKG0023</t>
        </is>
      </c>
      <c r="B24" s="2" t="inlineStr">
        <is>
          <t>Sachet 20 g (flexible film)</t>
        </is>
      </c>
      <c r="C24" s="2" t="inlineStr">
        <is>
          <t>Primary</t>
        </is>
      </c>
      <c r="D24" s="2" t="inlineStr">
        <is>
          <t>PL.FLEX 1.2g (Film)</t>
        </is>
      </c>
      <c r="E24" s="2" t="inlineStr">
        <is>
          <t>Sachet</t>
        </is>
      </c>
      <c r="F24" s="2" t="inlineStr">
        <is>
          <t>Rectangular</t>
        </is>
      </c>
      <c r="G24" s="2" t="inlineStr">
        <is>
          <t>20 g</t>
        </is>
      </c>
      <c r="H24" s="2" t="inlineStr">
        <is>
          <t>Typical: 80 x 120 mm</t>
        </is>
      </c>
      <c r="I24" s="2" t="inlineStr">
        <is>
          <t>Printed</t>
        </is>
      </c>
      <c r="J24" s="2" t="inlineStr">
        <is>
          <t>Typically low; mono-material options exist</t>
        </is>
      </c>
      <c r="K24" s="2" t="n">
        <v>1.2</v>
      </c>
      <c r="L24" s="2" t="inlineStr">
        <is>
          <t>Typical estimate</t>
        </is>
      </c>
      <c r="M24" s="2" t="inlineStr">
        <is>
          <t>Single-use portion pack.</t>
        </is>
      </c>
      <c r="N24" s="2" t="inlineStr">
        <is>
          <t>Amcor flexible packaging products</t>
        </is>
      </c>
      <c r="O24" s="2" t="inlineStr">
        <is>
          <t>https://www.amcor.com/products/search</t>
        </is>
      </c>
    </row>
    <row r="25">
      <c r="A25" s="2" t="inlineStr">
        <is>
          <t>PKG0024</t>
        </is>
      </c>
      <c r="B25" s="2" t="inlineStr">
        <is>
          <t>Paper sack 1 kg (multiwall) with printing</t>
        </is>
      </c>
      <c r="C25" s="2" t="inlineStr">
        <is>
          <t>Primary</t>
        </is>
      </c>
      <c r="D25" s="2" t="inlineStr">
        <is>
          <t>PA.MONO 60.0g (Paper sack); OT.OTHER_PACK 1.0g (Inks/adhesive)</t>
        </is>
      </c>
      <c r="E25" s="2" t="inlineStr">
        <is>
          <t>Bag</t>
        </is>
      </c>
      <c r="F25" s="2" t="inlineStr">
        <is>
          <t>Rectangular</t>
        </is>
      </c>
      <c r="G25" s="2" t="inlineStr">
        <is>
          <t>1 kg</t>
        </is>
      </c>
      <c r="H25" s="2" t="inlineStr">
        <is>
          <t>Typical: 120 x 70 x 310 mm</t>
        </is>
      </c>
      <c r="I25" s="2" t="inlineStr">
        <is>
          <t>Brown; white; printed</t>
        </is>
      </c>
      <c r="J25" s="2" t="inlineStr">
        <is>
          <t>Often 0–100% recycled fibre depending on food contact specs</t>
        </is>
      </c>
      <c r="K25" s="2" t="n">
        <v>61</v>
      </c>
      <c r="L25" s="2" t="inlineStr">
        <is>
          <t>Typical estimate</t>
        </is>
      </c>
      <c r="M25" s="2" t="inlineStr">
        <is>
          <t>Flour/sugar/grains.</t>
        </is>
      </c>
      <c r="N25" s="2" t="inlineStr">
        <is>
          <t>Visy cardboard/paper packaging categories</t>
        </is>
      </c>
      <c r="O25" s="2" t="inlineStr">
        <is>
          <t>https://productcatalogue.visy.com/products?types=cardboard_boxes</t>
        </is>
      </c>
    </row>
    <row r="26">
      <c r="A26" s="2" t="inlineStr">
        <is>
          <t>PKG0025</t>
        </is>
      </c>
      <c r="B26" s="2" t="inlineStr">
        <is>
          <t>Folding carton (cereal box) + inner PE bag</t>
        </is>
      </c>
      <c r="C26" s="2" t="inlineStr">
        <is>
          <t>Primary</t>
        </is>
      </c>
      <c r="D26" s="2" t="inlineStr">
        <is>
          <t>PA.MONO 35.0g (Carton); PL.PE.FILM 6.0g (Inner bag); OT.OTHER_PACK 1.5g (Inks/adhesive)</t>
        </is>
      </c>
      <c r="E26" s="2" t="inlineStr">
        <is>
          <t>Folding carton</t>
        </is>
      </c>
      <c r="F26" s="2" t="inlineStr">
        <is>
          <t>Rectangular</t>
        </is>
      </c>
      <c r="G26" s="2" t="inlineStr">
        <is>
          <t>~500 g contents</t>
        </is>
      </c>
      <c r="H26" s="2" t="inlineStr">
        <is>
          <t>Typical: 200 x 60 x 300 mm</t>
        </is>
      </c>
      <c r="I26" s="2" t="inlineStr">
        <is>
          <t>Printed</t>
        </is>
      </c>
      <c r="J26" s="2" t="inlineStr">
        <is>
          <t>Carton often contains recycled fibre; inner bag typically virgin</t>
        </is>
      </c>
      <c r="K26" s="2" t="n">
        <v>42.5</v>
      </c>
      <c r="L26" s="2" t="inlineStr">
        <is>
          <t>Typical estimate</t>
        </is>
      </c>
      <c r="M26" s="2" t="inlineStr">
        <is>
          <t>Composite pack (paper carton + plastic inner bag).</t>
        </is>
      </c>
      <c r="N26" s="2" t="inlineStr">
        <is>
          <t>Visy cardboard boxes; Amcor films (generic)</t>
        </is>
      </c>
      <c r="O26" s="2" t="inlineStr">
        <is>
          <t>https://productcatalogue.visy.com/products?types=cardboard_boxes</t>
        </is>
      </c>
    </row>
    <row r="27">
      <c r="A27" s="2" t="inlineStr">
        <is>
          <t>PKG0026</t>
        </is>
      </c>
      <c r="B27" s="2" t="inlineStr">
        <is>
          <t>PET clamshell produce punnet 500 g</t>
        </is>
      </c>
      <c r="C27" s="2" t="inlineStr">
        <is>
          <t>Primary</t>
        </is>
      </c>
      <c r="D27" s="2" t="inlineStr">
        <is>
          <t>PL.PET.THERMO.MONO.TR 18.0g (Clamshell)</t>
        </is>
      </c>
      <c r="E27" s="2" t="inlineStr">
        <is>
          <t>Clamshell</t>
        </is>
      </c>
      <c r="F27" s="2" t="inlineStr">
        <is>
          <t>Rectangular</t>
        </is>
      </c>
      <c r="G27" s="2" t="inlineStr">
        <is>
          <t>~500 g berries/produce</t>
        </is>
      </c>
      <c r="H27" s="2" t="inlineStr">
        <is>
          <t>Typical: 190 x 120 x 90 mm</t>
        </is>
      </c>
      <c r="I27" s="2" t="inlineStr">
        <is>
          <t>Clear</t>
        </is>
      </c>
      <c r="J27" s="2" t="inlineStr">
        <is>
          <t>Variable (0–100% rPET where allowed)</t>
        </is>
      </c>
      <c r="K27" s="2" t="n">
        <v>18</v>
      </c>
      <c r="L27" s="2" t="inlineStr">
        <is>
          <t>Typical estimate</t>
        </is>
      </c>
      <c r="M27" s="2" t="inlineStr">
        <is>
          <t>Hinged clamshell.</t>
        </is>
      </c>
      <c r="N27" s="2" t="inlineStr">
        <is>
          <t>Visy cardboard boxes lists clamshell punnet; Berlin plastic packaging catalog</t>
        </is>
      </c>
      <c r="O27" s="2" t="inlineStr">
        <is>
          <t>https://productcatalogue.visy.com/products?types=cardboard_boxes</t>
        </is>
      </c>
    </row>
    <row r="28">
      <c r="A28" s="2" t="inlineStr">
        <is>
          <t>PKG0027</t>
        </is>
      </c>
      <c r="B28" s="2" t="inlineStr">
        <is>
          <t>Corrugated shipping box (RSC) - Small</t>
        </is>
      </c>
      <c r="C28" s="2" t="inlineStr">
        <is>
          <t>Secondary</t>
        </is>
      </c>
      <c r="D28" s="2" t="inlineStr">
        <is>
          <t>PA.RECYCLED 120.0g (Corrugated board); PL.PP.FILM 5.0g (Tape); PA.MONO 1.0g (Label)</t>
        </is>
      </c>
      <c r="E28" s="2" t="inlineStr">
        <is>
          <t>RSC box</t>
        </is>
      </c>
      <c r="F28" s="2" t="inlineStr">
        <is>
          <t>Rectangular</t>
        </is>
      </c>
      <c r="G28" s="2" t="inlineStr">
        <is>
          <t>Small</t>
        </is>
      </c>
      <c r="H28" s="2" t="inlineStr">
        <is>
          <t>200 x 150 x 100 mm (internal)</t>
        </is>
      </c>
      <c r="I28" s="2" t="inlineStr">
        <is>
          <t>Brown kraft; white (optional)</t>
        </is>
      </c>
      <c r="J28" s="2" t="inlineStr">
        <is>
          <t>Typically high recycled content; verify per grade</t>
        </is>
      </c>
      <c r="K28" s="2" t="n">
        <v>126</v>
      </c>
      <c r="L28" s="2" t="inlineStr">
        <is>
          <t>Estimate (from typical board grade)</t>
        </is>
      </c>
      <c r="M28" s="2" t="inlineStr">
        <is>
          <t>Single-wall E-flute equivalent.</t>
        </is>
      </c>
      <c r="N28" s="2" t="inlineStr">
        <is>
          <t>Visy cardboard boxes catalogue (RSC)</t>
        </is>
      </c>
      <c r="O28" s="2" t="inlineStr">
        <is>
          <t>https://api.productcatalogue.visy.com/api/v1/search/print-results?industry%5B%5D=null&amp;types%5B%5D=cardboard_boxes</t>
        </is>
      </c>
    </row>
    <row r="29">
      <c r="A29" s="2" t="inlineStr">
        <is>
          <t>PKG0028</t>
        </is>
      </c>
      <c r="B29" s="2" t="inlineStr">
        <is>
          <t>Corrugated shipping box (RSC) - Medium</t>
        </is>
      </c>
      <c r="C29" s="2" t="inlineStr">
        <is>
          <t>Secondary</t>
        </is>
      </c>
      <c r="D29" s="2" t="inlineStr">
        <is>
          <t>PA.RECYCLED 380.0g (Corrugated board); PL.PP.FILM 8.0g (Tape); PA.MONO 1.2g (Label)</t>
        </is>
      </c>
      <c r="E29" s="2" t="inlineStr">
        <is>
          <t>RSC box</t>
        </is>
      </c>
      <c r="F29" s="2" t="inlineStr">
        <is>
          <t>Rectangular</t>
        </is>
      </c>
      <c r="G29" s="2" t="inlineStr">
        <is>
          <t>Medium</t>
        </is>
      </c>
      <c r="H29" s="2" t="inlineStr">
        <is>
          <t>400 x 300 x 200 mm (internal)</t>
        </is>
      </c>
      <c r="I29" s="2" t="inlineStr">
        <is>
          <t>Brown kraft; white (optional)</t>
        </is>
      </c>
      <c r="J29" s="2" t="inlineStr">
        <is>
          <t>Typically high recycled content; verify per grade</t>
        </is>
      </c>
      <c r="K29" s="2" t="n">
        <v>389.2</v>
      </c>
      <c r="L29" s="2" t="inlineStr">
        <is>
          <t>Estimate (from typical board grade)</t>
        </is>
      </c>
      <c r="M29" s="2" t="inlineStr">
        <is>
          <t>Single-wall C-flute equivalent.</t>
        </is>
      </c>
      <c r="N29" s="2" t="inlineStr">
        <is>
          <t>Visy cardboard boxes catalogue (RSC)</t>
        </is>
      </c>
      <c r="O29" s="2" t="inlineStr">
        <is>
          <t>https://api.productcatalogue.visy.com/api/v1/search/print-results?industry%5B%5D=null&amp;types%5B%5D=cardboard_boxes</t>
        </is>
      </c>
    </row>
    <row r="30">
      <c r="A30" s="2" t="inlineStr">
        <is>
          <t>PKG0029</t>
        </is>
      </c>
      <c r="B30" s="2" t="inlineStr">
        <is>
          <t>Corrugated shipping box (RSC) - Large</t>
        </is>
      </c>
      <c r="C30" s="2" t="inlineStr">
        <is>
          <t>Secondary</t>
        </is>
      </c>
      <c r="D30" s="2" t="inlineStr">
        <is>
          <t>PA.RECYCLED 950.0g (Corrugated board); PL.PP.FILM 12.0g (Tape); PA.MONO 1.2g (Label)</t>
        </is>
      </c>
      <c r="E30" s="2" t="inlineStr">
        <is>
          <t>RSC box</t>
        </is>
      </c>
      <c r="F30" s="2" t="inlineStr">
        <is>
          <t>Rectangular</t>
        </is>
      </c>
      <c r="G30" s="2" t="inlineStr">
        <is>
          <t>Large</t>
        </is>
      </c>
      <c r="H30" s="2" t="inlineStr">
        <is>
          <t>600 x 400 x 400 mm (internal)</t>
        </is>
      </c>
      <c r="I30" s="2" t="inlineStr">
        <is>
          <t>Brown kraft; white (optional)</t>
        </is>
      </c>
      <c r="J30" s="2" t="inlineStr">
        <is>
          <t>Typically high recycled content; verify per grade</t>
        </is>
      </c>
      <c r="K30" s="2" t="n">
        <v>963.2</v>
      </c>
      <c r="L30" s="2" t="inlineStr">
        <is>
          <t>Estimate (from typical board grade)</t>
        </is>
      </c>
      <c r="M30" s="2" t="inlineStr">
        <is>
          <t>Double-wall BC-flute equivalent.</t>
        </is>
      </c>
      <c r="N30" s="2" t="inlineStr">
        <is>
          <t>Visy cardboard boxes catalogue (RSC)</t>
        </is>
      </c>
      <c r="O30" s="2" t="inlineStr">
        <is>
          <t>https://api.productcatalogue.visy.com/api/v1/search/print-results?industry%5B%5D=null&amp;types%5B%5D=cardboard_boxes</t>
        </is>
      </c>
    </row>
    <row r="31">
      <c r="A31" s="2" t="inlineStr">
        <is>
          <t>PKG0030</t>
        </is>
      </c>
      <c r="B31" s="2" t="inlineStr">
        <is>
          <t>E-commerce mailer box (A5) + paper tape</t>
        </is>
      </c>
      <c r="C31" s="2" t="inlineStr">
        <is>
          <t>Secondary</t>
        </is>
      </c>
      <c r="D31" s="2" t="inlineStr">
        <is>
          <t>PA.RECYCLED 220.0g (Mailer board); PA.MONO 6.0g (Paper tape)</t>
        </is>
      </c>
      <c r="E31" s="2" t="inlineStr">
        <is>
          <t>Die-cut mailer</t>
        </is>
      </c>
      <c r="F31" s="2" t="inlineStr">
        <is>
          <t>Rectangular</t>
        </is>
      </c>
      <c r="G31" s="2" t="inlineStr">
        <is>
          <t>A5</t>
        </is>
      </c>
      <c r="H31" s="2" t="inlineStr">
        <is>
          <t>230 x 160 x 80 mm (internal)</t>
        </is>
      </c>
      <c r="I31" s="2" t="inlineStr">
        <is>
          <t>Brown kraft; white (optional)</t>
        </is>
      </c>
      <c r="J31" s="2" t="inlineStr">
        <is>
          <t>Typically high recycled content; verify per grade</t>
        </is>
      </c>
      <c r="K31" s="2" t="n">
        <v>226</v>
      </c>
      <c r="L31" s="2" t="inlineStr">
        <is>
          <t>Estimate</t>
        </is>
      </c>
      <c r="M31" s="2" t="inlineStr">
        <is>
          <t>Self-locking mailer box for small parcels.</t>
        </is>
      </c>
      <c r="N31" s="2" t="inlineStr">
        <is>
          <t>Visy e-commerce packaging range</t>
        </is>
      </c>
      <c r="O31" s="2" t="inlineStr">
        <is>
          <t>https://productcatalogue.visy.com/products?types=e-commerce</t>
        </is>
      </c>
    </row>
    <row r="32">
      <c r="A32" s="2" t="inlineStr">
        <is>
          <t>PKG0031</t>
        </is>
      </c>
      <c r="B32" s="2" t="inlineStr">
        <is>
          <t>E-commerce mailer box (A4) + paper tape</t>
        </is>
      </c>
      <c r="C32" s="2" t="inlineStr">
        <is>
          <t>Secondary</t>
        </is>
      </c>
      <c r="D32" s="2" t="inlineStr">
        <is>
          <t>PA.RECYCLED 420.0g (Mailer board); PA.MONO 8.0g (Paper tape)</t>
        </is>
      </c>
      <c r="E32" s="2" t="inlineStr">
        <is>
          <t>Die-cut mailer</t>
        </is>
      </c>
      <c r="F32" s="2" t="inlineStr">
        <is>
          <t>Rectangular</t>
        </is>
      </c>
      <c r="G32" s="2" t="inlineStr">
        <is>
          <t>A4</t>
        </is>
      </c>
      <c r="H32" s="2" t="inlineStr">
        <is>
          <t>330 x 250 x 120 mm (internal)</t>
        </is>
      </c>
      <c r="I32" s="2" t="inlineStr">
        <is>
          <t>Brown kraft; white (optional)</t>
        </is>
      </c>
      <c r="J32" s="2" t="inlineStr">
        <is>
          <t>Typically high recycled content; verify per grade</t>
        </is>
      </c>
      <c r="K32" s="2" t="n">
        <v>428</v>
      </c>
      <c r="L32" s="2" t="inlineStr">
        <is>
          <t>Estimate</t>
        </is>
      </c>
      <c r="M32" s="2" t="inlineStr">
        <is>
          <t>Self-locking mailer box for medium parcels.</t>
        </is>
      </c>
      <c r="N32" s="2" t="inlineStr">
        <is>
          <t>Visy e-commerce packaging range</t>
        </is>
      </c>
      <c r="O32" s="2" t="inlineStr">
        <is>
          <t>https://productcatalogue.visy.com/products?types=e-commerce</t>
        </is>
      </c>
    </row>
    <row r="33">
      <c r="A33" s="2" t="inlineStr">
        <is>
          <t>PKG0032</t>
        </is>
      </c>
      <c r="B33" s="2" t="inlineStr">
        <is>
          <t>Shelf-ready tray (SRP) for 12 x 330 mL cans</t>
        </is>
      </c>
      <c r="C33" s="2" t="inlineStr">
        <is>
          <t>Secondary</t>
        </is>
      </c>
      <c r="D33" s="2" t="inlineStr">
        <is>
          <t>PA.RECYCLED 180.0g (Corrugated board); OT.OTHER_PACK 2.0g (Inks/adhesive)</t>
        </is>
      </c>
      <c r="E33" s="2" t="inlineStr">
        <is>
          <t>SRP tray</t>
        </is>
      </c>
      <c r="F33" s="2" t="inlineStr">
        <is>
          <t>Rectangular</t>
        </is>
      </c>
      <c r="G33" s="2" t="inlineStr">
        <is>
          <t>12-pack</t>
        </is>
      </c>
      <c r="H33" s="2" t="inlineStr">
        <is>
          <t>Typical: 270 x 205 x 115 mm</t>
        </is>
      </c>
      <c r="I33" s="2" t="inlineStr">
        <is>
          <t>Printed or kraft</t>
        </is>
      </c>
      <c r="J33" s="2" t="inlineStr">
        <is>
          <t>Typically high recycled content; verify per grade</t>
        </is>
      </c>
      <c r="K33" s="2" t="n">
        <v>182</v>
      </c>
      <c r="L33" s="2" t="inlineStr">
        <is>
          <t>Estimate</t>
        </is>
      </c>
      <c r="M33" s="2" t="inlineStr">
        <is>
          <t>Tear-off front for shelf display.</t>
        </is>
      </c>
      <c r="N33" s="2" t="inlineStr">
        <is>
          <t>Visy shelf ready packaging catalogue</t>
        </is>
      </c>
      <c r="O33" s="2" t="inlineStr">
        <is>
          <t>https://api.productcatalogue.visy.com/api/v1/search/print-results?industry%5B%5D=null&amp;types%5B%5D=shelf_ready_packaging</t>
        </is>
      </c>
    </row>
    <row r="34">
      <c r="A34" s="2" t="inlineStr">
        <is>
          <t>PKG0033</t>
        </is>
      </c>
      <c r="B34" s="2" t="inlineStr">
        <is>
          <t>Wrap-around corrugated case for 6 x 1.5 L bottles</t>
        </is>
      </c>
      <c r="C34" s="2" t="inlineStr">
        <is>
          <t>Secondary</t>
        </is>
      </c>
      <c r="D34" s="2" t="inlineStr">
        <is>
          <t>PA.RECYCLED 450.0g (Corrugated board); OT.OTHER_PACK 3.0g (Inks/adhesive)</t>
        </is>
      </c>
      <c r="E34" s="2" t="inlineStr">
        <is>
          <t>Wrap-around case</t>
        </is>
      </c>
      <c r="F34" s="2" t="inlineStr">
        <is>
          <t>Rectangular</t>
        </is>
      </c>
      <c r="G34" s="2" t="inlineStr">
        <is>
          <t>6-pack case</t>
        </is>
      </c>
      <c r="H34" s="2" t="inlineStr">
        <is>
          <t>Typical: 330 x 220 x 310 mm</t>
        </is>
      </c>
      <c r="I34" s="2" t="inlineStr">
        <is>
          <t>Printed or kraft</t>
        </is>
      </c>
      <c r="J34" s="2" t="inlineStr">
        <is>
          <t>Typically high recycled content; verify per grade</t>
        </is>
      </c>
      <c r="K34" s="2" t="n">
        <v>453</v>
      </c>
      <c r="L34" s="2" t="inlineStr">
        <is>
          <t>Estimate</t>
        </is>
      </c>
      <c r="M34" s="2" t="inlineStr">
        <is>
          <t>Secondary case for distribution.</t>
        </is>
      </c>
      <c r="N34" s="2" t="inlineStr">
        <is>
          <t>Visy shelf ready / boxes</t>
        </is>
      </c>
      <c r="O34" s="2" t="inlineStr">
        <is>
          <t>https://productcatalogue.visy.com/products?types=shelf_ready_packaging</t>
        </is>
      </c>
    </row>
    <row r="35">
      <c r="A35" s="2" t="inlineStr">
        <is>
          <t>PKG0034</t>
        </is>
      </c>
      <c r="B35" s="2" t="inlineStr">
        <is>
          <t>Corrugated divider insert for 12 bottles</t>
        </is>
      </c>
      <c r="C35" s="2" t="inlineStr">
        <is>
          <t>Secondary</t>
        </is>
      </c>
      <c r="D35" s="2" t="inlineStr">
        <is>
          <t>PA.RECYCLED 120.0g (Corrugated board)</t>
        </is>
      </c>
      <c r="E35" s="2" t="inlineStr">
        <is>
          <t>Insert/divider</t>
        </is>
      </c>
      <c r="F35" s="2" t="inlineStr">
        <is>
          <t>Grid</t>
        </is>
      </c>
      <c r="G35" s="2" t="inlineStr">
        <is>
          <t>12-cell</t>
        </is>
      </c>
      <c r="H35" s="2" t="inlineStr">
        <is>
          <t>Fits 12 x 330–375 mL bottles</t>
        </is>
      </c>
      <c r="I35" s="2" t="inlineStr">
        <is>
          <t>Brown kraft</t>
        </is>
      </c>
      <c r="J35" s="2" t="inlineStr">
        <is>
          <t>Typically high recycled content; verify per grade</t>
        </is>
      </c>
      <c r="K35" s="2" t="n">
        <v>120</v>
      </c>
      <c r="L35" s="2" t="inlineStr">
        <is>
          <t>Estimate</t>
        </is>
      </c>
      <c r="M35" s="2" t="inlineStr">
        <is>
          <t>Used in shipper case for glass bottles.</t>
        </is>
      </c>
      <c r="N35" s="2" t="inlineStr">
        <is>
          <t>Visy boxes / inners-outers</t>
        </is>
      </c>
      <c r="O35" s="2" t="inlineStr">
        <is>
          <t>https://api.productcatalogue.visy.com/api/v1/search/print-results?industry%5B%5D=null&amp;types%5B%5D=cardboard_boxes</t>
        </is>
      </c>
    </row>
    <row r="36">
      <c r="A36" s="2" t="inlineStr">
        <is>
          <t>PKG0035</t>
        </is>
      </c>
      <c r="B36" s="2" t="inlineStr">
        <is>
          <t>Shrink film multipack for 6 x 500 mL PET bottles</t>
        </is>
      </c>
      <c r="C36" s="2" t="inlineStr">
        <is>
          <t>Secondary</t>
        </is>
      </c>
      <c r="D36" s="2" t="inlineStr">
        <is>
          <t>PL.PE.FILM 14.0g (Shrink film)</t>
        </is>
      </c>
      <c r="E36" s="2" t="inlineStr">
        <is>
          <t>Shrink wrap</t>
        </is>
      </c>
      <c r="F36" s="2" t="inlineStr">
        <is>
          <t>Sleeve</t>
        </is>
      </c>
      <c r="G36" s="2" t="inlineStr">
        <is>
          <t>6-pack</t>
        </is>
      </c>
      <c r="H36" s="2" t="inlineStr">
        <is>
          <t>Typical film: 35 µm; area ~0.25 m²</t>
        </is>
      </c>
      <c r="I36" s="2" t="inlineStr">
        <is>
          <t>Clear</t>
        </is>
      </c>
      <c r="J36" s="2" t="inlineStr">
        <is>
          <t>Variable; often contains some PCR in some markets</t>
        </is>
      </c>
      <c r="K36" s="2" t="n">
        <v>14</v>
      </c>
      <c r="L36" s="2" t="inlineStr">
        <is>
          <t>Estimate</t>
        </is>
      </c>
      <c r="M36" s="2" t="inlineStr">
        <is>
          <t>LDPE shrink film mapped to PE film.</t>
        </is>
      </c>
      <c r="N36" s="2" t="inlineStr">
        <is>
          <t>Amcor shrink film products (generic)</t>
        </is>
      </c>
      <c r="O36" s="2" t="inlineStr">
        <is>
          <t>https://www.amcor.com/products/search</t>
        </is>
      </c>
    </row>
    <row r="37">
      <c r="A37" s="2" t="inlineStr">
        <is>
          <t>PKG0036</t>
        </is>
      </c>
      <c r="B37" s="2" t="inlineStr">
        <is>
          <t>Full-body shrink sleeve label (for PET bottle)</t>
        </is>
      </c>
      <c r="C37" s="2" t="inlineStr">
        <is>
          <t>Secondary</t>
        </is>
      </c>
      <c r="D37" s="2" t="inlineStr">
        <is>
          <t>PL.OTHER 3.0g (Sleeve film); OT.OTHER_PACK 0.2g (Inks)</t>
        </is>
      </c>
      <c r="E37" s="2" t="inlineStr">
        <is>
          <t>Sleeve label</t>
        </is>
      </c>
      <c r="F37" s="2" t="inlineStr">
        <is>
          <t>Cylindrical sleeve</t>
        </is>
      </c>
      <c r="G37" s="2" t="inlineStr">
        <is>
          <t>Fits 500 mL bottle</t>
        </is>
      </c>
      <c r="H37" s="2" t="inlineStr">
        <is>
          <t>Typical: 160 x 200 mm; 50 µm</t>
        </is>
      </c>
      <c r="I37" s="2" t="inlineStr">
        <is>
          <t>Printed</t>
        </is>
      </c>
      <c r="J37" s="2" t="inlineStr">
        <is>
          <t>Typically low; can hinder recycling if not perforated</t>
        </is>
      </c>
      <c r="K37" s="2" t="n">
        <v>3.2</v>
      </c>
      <c r="L37" s="2" t="inlineStr">
        <is>
          <t>Estimate</t>
        </is>
      </c>
      <c r="M37" s="2" t="inlineStr">
        <is>
          <t>Often PETG; mapped to PL.OTHER.</t>
        </is>
      </c>
      <c r="N37" s="2" t="inlineStr">
        <is>
          <t>Amcor shrink sleeve solutions (generic)</t>
        </is>
      </c>
      <c r="O37" s="2" t="inlineStr">
        <is>
          <t>https://www.amcor.com/products/search</t>
        </is>
      </c>
    </row>
    <row r="38">
      <c r="A38" s="2" t="inlineStr">
        <is>
          <t>PKG0037</t>
        </is>
      </c>
      <c r="B38" s="2" t="inlineStr">
        <is>
          <t>Paper pressure-sensitive label (jar) + adhesive</t>
        </is>
      </c>
      <c r="C38" s="2" t="inlineStr">
        <is>
          <t>Secondary</t>
        </is>
      </c>
      <c r="D38" s="2" t="inlineStr">
        <is>
          <t>PA.MONO 1.0g (Label paper); OT.OTHER_PACK 0.2g (Adhesive/liner)</t>
        </is>
      </c>
      <c r="E38" s="2" t="inlineStr">
        <is>
          <t>PS label</t>
        </is>
      </c>
      <c r="F38" s="2" t="inlineStr">
        <is>
          <t>Rectangular</t>
        </is>
      </c>
      <c r="G38" s="2" t="inlineStr">
        <is>
          <t>Jar label</t>
        </is>
      </c>
      <c r="H38" s="2" t="inlineStr">
        <is>
          <t>Typical: 70 x 90 mm</t>
        </is>
      </c>
      <c r="I38" s="2" t="inlineStr">
        <is>
          <t>Printed</t>
        </is>
      </c>
      <c r="J38" s="2" t="inlineStr">
        <is>
          <t>Variable; depends on label stock</t>
        </is>
      </c>
      <c r="K38" s="2" t="n">
        <v>1.2</v>
      </c>
      <c r="L38" s="2" t="inlineStr">
        <is>
          <t>Estimate</t>
        </is>
      </c>
      <c r="M38" s="2" t="inlineStr">
        <is>
          <t>For mapping label separately in BOM.</t>
        </is>
      </c>
      <c r="N38" s="2" t="inlineStr">
        <is>
          <t>Industry baseline</t>
        </is>
      </c>
      <c r="O38" s="2" t="inlineStr">
        <is>
          <t>https://productcatalogue.visy.com/products?types=cardboard_boxes</t>
        </is>
      </c>
    </row>
    <row r="39">
      <c r="A39" s="2" t="inlineStr">
        <is>
          <t>PKG0038</t>
        </is>
      </c>
      <c r="B39" s="2" t="inlineStr">
        <is>
          <t>POS floor display unit (corrugated)</t>
        </is>
      </c>
      <c r="C39" s="2" t="inlineStr">
        <is>
          <t>POS</t>
        </is>
      </c>
      <c r="D39" s="2" t="inlineStr">
        <is>
          <t>PA.RECYCLED 2200.0g (Corrugated board); OT.OTHER_PACK 10.0g (Inks/adhesive)</t>
        </is>
      </c>
      <c r="E39" s="2" t="inlineStr">
        <is>
          <t>Floor display</t>
        </is>
      </c>
      <c r="F39" s="2" t="inlineStr">
        <is>
          <t>Rectangular</t>
        </is>
      </c>
      <c r="G39" s="2" t="inlineStr">
        <is>
          <t>4-shelf</t>
        </is>
      </c>
      <c r="H39" s="2" t="inlineStr">
        <is>
          <t>Typical: 400 x 300 x 1500 mm</t>
        </is>
      </c>
      <c r="I39" s="2" t="inlineStr">
        <is>
          <t>Printed</t>
        </is>
      </c>
      <c r="J39" s="2" t="inlineStr">
        <is>
          <t>Typically high recycled content; verify per grade</t>
        </is>
      </c>
      <c r="K39" s="2" t="n">
        <v>2210</v>
      </c>
      <c r="L39" s="2" t="inlineStr">
        <is>
          <t>Estimate</t>
        </is>
      </c>
      <c r="M39" s="2" t="inlineStr">
        <is>
          <t>Retail display stand.</t>
        </is>
      </c>
      <c r="N39" s="2" t="inlineStr">
        <is>
          <t>Visy point of sale catalogue</t>
        </is>
      </c>
      <c r="O39" s="2" t="inlineStr">
        <is>
          <t>https://productcatalogue.visy.com/products?types=point_of_sale</t>
        </is>
      </c>
    </row>
    <row r="40">
      <c r="A40" s="2" t="inlineStr">
        <is>
          <t>PKG0039</t>
        </is>
      </c>
      <c r="B40" s="2" t="inlineStr">
        <is>
          <t>Counter-top display carton</t>
        </is>
      </c>
      <c r="C40" s="2" t="inlineStr">
        <is>
          <t>POS</t>
        </is>
      </c>
      <c r="D40" s="2" t="inlineStr">
        <is>
          <t>PA.RECYCLED 350.0g (Paperboard/corrugated); OT.OTHER_PACK 2.0g (Inks/adhesive)</t>
        </is>
      </c>
      <c r="E40" s="2" t="inlineStr">
        <is>
          <t>Counter display</t>
        </is>
      </c>
      <c r="F40" s="2" t="inlineStr">
        <is>
          <t>Rectangular</t>
        </is>
      </c>
      <c r="G40" s="2" t="inlineStr">
        <is>
          <t>Small</t>
        </is>
      </c>
      <c r="H40" s="2" t="inlineStr">
        <is>
          <t>Typical: 250 x 180 x 250 mm</t>
        </is>
      </c>
      <c r="I40" s="2" t="inlineStr">
        <is>
          <t>Printed</t>
        </is>
      </c>
      <c r="J40" s="2" t="inlineStr">
        <is>
          <t>Typically high recycled content; verify per grade</t>
        </is>
      </c>
      <c r="K40" s="2" t="n">
        <v>352</v>
      </c>
      <c r="L40" s="2" t="inlineStr">
        <is>
          <t>Estimate</t>
        </is>
      </c>
      <c r="M40" s="2" t="inlineStr">
        <is>
          <t>Small point-of-sale display.</t>
        </is>
      </c>
      <c r="N40" s="2" t="inlineStr">
        <is>
          <t>Visy point of sale catalogue</t>
        </is>
      </c>
      <c r="O40" s="2" t="inlineStr">
        <is>
          <t>https://productcatalogue.visy.com/products?types=point_of_sale</t>
        </is>
      </c>
    </row>
    <row r="41">
      <c r="A41" s="2" t="inlineStr">
        <is>
          <t>PKG0040</t>
        </is>
      </c>
      <c r="B41" s="2" t="inlineStr">
        <is>
          <t>Paperboard hot cup 12 oz + plastic lid</t>
        </is>
      </c>
      <c r="C41" s="2" t="inlineStr">
        <is>
          <t>Primary</t>
        </is>
      </c>
      <c r="D41" s="2" t="inlineStr">
        <is>
          <t>PA.MONO 12.0g (Cup paperboard); PL.PE.FILM 1.2g (Cup lining); PL.PP.RIGID 3.0g (Lid)</t>
        </is>
      </c>
      <c r="E41" s="2" t="inlineStr">
        <is>
          <t>Cup</t>
        </is>
      </c>
      <c r="F41" s="2" t="inlineStr">
        <is>
          <t>Round</t>
        </is>
      </c>
      <c r="G41" s="2" t="inlineStr">
        <is>
          <t>12 oz / ~355 mL</t>
        </is>
      </c>
      <c r="H41" s="2" t="inlineStr">
        <is>
          <t>Typical: H 110 mm; Ø top 90 mm</t>
        </is>
      </c>
      <c r="I41" s="2" t="inlineStr">
        <is>
          <t>White; printed</t>
        </is>
      </c>
      <c r="J41" s="2" t="inlineStr">
        <is>
          <t>Cup often contains some recycled fibre (varies); lid varies</t>
        </is>
      </c>
      <c r="K41" s="2" t="n">
        <v>16.2</v>
      </c>
      <c r="L41" s="2" t="inlineStr">
        <is>
          <t>Typical estimate</t>
        </is>
      </c>
      <c r="M41" s="2" t="inlineStr">
        <is>
          <t>Cup is a fibre/plastic composite; mapped by layers.</t>
        </is>
      </c>
      <c r="N41" s="2" t="inlineStr">
        <is>
          <t>Amcor foodservice packaging (generic)</t>
        </is>
      </c>
      <c r="O41" s="2" t="inlineStr">
        <is>
          <t>https://www.amcor.com/products/search</t>
        </is>
      </c>
    </row>
    <row r="42">
      <c r="A42" s="2" t="inlineStr">
        <is>
          <t>PKG0041</t>
        </is>
      </c>
      <c r="B42" s="2" t="inlineStr">
        <is>
          <t>Aluminium foil tray 1 L + board lid</t>
        </is>
      </c>
      <c r="C42" s="2" t="inlineStr">
        <is>
          <t>Primary</t>
        </is>
      </c>
      <c r="D42" s="2" t="inlineStr">
        <is>
          <t>ME.ALU.THIN 18.0g (Foil tray); PA.MONO 4.0g (Lid board)</t>
        </is>
      </c>
      <c r="E42" s="2" t="inlineStr">
        <is>
          <t>Tray</t>
        </is>
      </c>
      <c r="F42" s="2" t="inlineStr">
        <is>
          <t>Rectangular</t>
        </is>
      </c>
      <c r="G42" s="2" t="inlineStr">
        <is>
          <t>1 L</t>
        </is>
      </c>
      <c r="H42" s="2" t="inlineStr">
        <is>
          <t>Typical: 200 x 140 x 50 mm</t>
        </is>
      </c>
      <c r="I42" s="2" t="inlineStr">
        <is>
          <t>Silver</t>
        </is>
      </c>
      <c r="J42" s="2" t="inlineStr">
        <is>
          <t>Variable; high recycled content possible</t>
        </is>
      </c>
      <c r="K42" s="2" t="n">
        <v>22</v>
      </c>
      <c r="L42" s="2" t="inlineStr">
        <is>
          <t>Typical estimate</t>
        </is>
      </c>
      <c r="M42" s="2" t="inlineStr">
        <is>
          <t>Ready-meal tray.</t>
        </is>
      </c>
      <c r="N42" s="2" t="inlineStr">
        <is>
          <t>Amcor/industry foil trays (generic)</t>
        </is>
      </c>
      <c r="O42" s="2" t="inlineStr">
        <is>
          <t>https://www.amcor.com/products/search</t>
        </is>
      </c>
    </row>
    <row r="43">
      <c r="A43" s="2" t="inlineStr">
        <is>
          <t>PKG0042</t>
        </is>
      </c>
      <c r="B43" s="2" t="inlineStr">
        <is>
          <t>CPET ovenable tray (single portion) + lidding film</t>
        </is>
      </c>
      <c r="C43" s="2" t="inlineStr">
        <is>
          <t>Primary</t>
        </is>
      </c>
      <c r="D43" s="2" t="inlineStr">
        <is>
          <t>PL.PET.THERMO.OPAQUE 28.0g (Tray); PL.PE.FILM 2.5g (Lidding film)</t>
        </is>
      </c>
      <c r="E43" s="2" t="inlineStr">
        <is>
          <t>Tray</t>
        </is>
      </c>
      <c r="F43" s="2" t="inlineStr">
        <is>
          <t>Rectangular</t>
        </is>
      </c>
      <c r="G43" s="2" t="inlineStr">
        <is>
          <t>~500 mL</t>
        </is>
      </c>
      <c r="H43" s="2" t="inlineStr">
        <is>
          <t>Typical: 190 x 135 x 40 mm</t>
        </is>
      </c>
      <c r="I43" s="2" t="inlineStr">
        <is>
          <t>Black</t>
        </is>
      </c>
      <c r="J43" s="2" t="inlineStr">
        <is>
          <t>Low; varies (CPET may contain recycled PET)</t>
        </is>
      </c>
      <c r="K43" s="2" t="n">
        <v>30.5</v>
      </c>
      <c r="L43" s="2" t="inlineStr">
        <is>
          <t>Typical estimate</t>
        </is>
      </c>
      <c r="M43" s="2" t="inlineStr">
        <is>
          <t>Mapped to PET thermoform opaque.</t>
        </is>
      </c>
      <c r="N43" s="2" t="inlineStr">
        <is>
          <t>Amcor/industry ready meal trays (generic)</t>
        </is>
      </c>
      <c r="O43" s="2" t="inlineStr">
        <is>
          <t>https://www.amcor.com/products/search</t>
        </is>
      </c>
    </row>
    <row r="44">
      <c r="A44" s="2" t="inlineStr">
        <is>
          <t>PKG0043</t>
        </is>
      </c>
      <c r="B44" s="2" t="inlineStr">
        <is>
          <t>PET produce tray + lidding film</t>
        </is>
      </c>
      <c r="C44" s="2" t="inlineStr">
        <is>
          <t>Primary</t>
        </is>
      </c>
      <c r="D44" s="2" t="inlineStr">
        <is>
          <t>PL.PET.THERMO.MONO.TR 16.0g (Tray); PL.PE.FILM 1.8g (Lidding film)</t>
        </is>
      </c>
      <c r="E44" s="2" t="inlineStr">
        <is>
          <t>Tray</t>
        </is>
      </c>
      <c r="F44" s="2" t="inlineStr">
        <is>
          <t>Rectangular</t>
        </is>
      </c>
      <c r="G44" s="2" t="inlineStr">
        <is>
          <t>~500 g produce</t>
        </is>
      </c>
      <c r="H44" s="2" t="inlineStr">
        <is>
          <t>Typical: 200 x 140 x 40 mm</t>
        </is>
      </c>
      <c r="I44" s="2" t="inlineStr">
        <is>
          <t>Clear</t>
        </is>
      </c>
      <c r="J44" s="2" t="inlineStr">
        <is>
          <t>Variable (0–100% rPET where allowed)</t>
        </is>
      </c>
      <c r="K44" s="2" t="n">
        <v>17.8</v>
      </c>
      <c r="L44" s="2" t="inlineStr">
        <is>
          <t>Typical estimate</t>
        </is>
      </c>
      <c r="M44" s="2" t="inlineStr">
        <is>
          <t>Common for berries/grapes with top film.</t>
        </is>
      </c>
      <c r="N44" s="2" t="inlineStr">
        <is>
          <t>Berlin Packaging / Visy produce packaging (generic)</t>
        </is>
      </c>
      <c r="O44" s="2" t="inlineStr">
        <is>
          <t>https://productcatalogue.visy.com/products?industry=fruit-produce</t>
        </is>
      </c>
    </row>
    <row r="45">
      <c r="A45" s="2" t="inlineStr">
        <is>
          <t>PKG0044</t>
        </is>
      </c>
      <c r="B45" s="2" t="inlineStr">
        <is>
          <t>Retail paper carry bag (medium) with handles</t>
        </is>
      </c>
      <c r="C45" s="2" t="inlineStr">
        <is>
          <t>Secondary</t>
        </is>
      </c>
      <c r="D45" s="2" t="inlineStr">
        <is>
          <t>PA.RECYCLED 70.0g (Bag paper); PA.MONO 8.0g (Handles)</t>
        </is>
      </c>
      <c r="E45" s="2" t="inlineStr">
        <is>
          <t>Carry bag</t>
        </is>
      </c>
      <c r="F45" s="2" t="inlineStr">
        <is>
          <t>Rectangular</t>
        </is>
      </c>
      <c r="G45" s="2" t="inlineStr">
        <is>
          <t>Medium</t>
        </is>
      </c>
      <c r="H45" s="2" t="inlineStr">
        <is>
          <t>320 x 160 x 420 mm</t>
        </is>
      </c>
      <c r="I45" s="2" t="inlineStr">
        <is>
          <t>Brown; white; printed</t>
        </is>
      </c>
      <c r="J45" s="2" t="inlineStr">
        <is>
          <t>Often 50–100% recycled fibre (depends on strength/food contact)</t>
        </is>
      </c>
      <c r="K45" s="2" t="n">
        <v>78</v>
      </c>
      <c r="L45" s="2" t="inlineStr">
        <is>
          <t>Typical estimate</t>
        </is>
      </c>
      <c r="M45" s="2" t="inlineStr">
        <is>
          <t>Twisted-paper handles.</t>
        </is>
      </c>
      <c r="N45" s="2" t="inlineStr">
        <is>
          <t>Visy cardboard/paper packaging</t>
        </is>
      </c>
      <c r="O45" s="2" t="inlineStr">
        <is>
          <t>https://productcatalogue.visy.com/products?industry=non-food</t>
        </is>
      </c>
    </row>
    <row r="46">
      <c r="A46" s="2" t="inlineStr">
        <is>
          <t>PKG0045</t>
        </is>
      </c>
      <c r="B46" s="2" t="inlineStr">
        <is>
          <t>HDPE carrier bag (t-shirt) - medium</t>
        </is>
      </c>
      <c r="C46" s="2" t="inlineStr">
        <is>
          <t>Secondary</t>
        </is>
      </c>
      <c r="D46" s="2" t="inlineStr">
        <is>
          <t>PL.PE.FILM 6.0g (Bag film); OT.OTHER_PACK 0.2g (Inks)</t>
        </is>
      </c>
      <c r="E46" s="2" t="inlineStr">
        <is>
          <t>Carrier bag</t>
        </is>
      </c>
      <c r="F46" s="2" t="inlineStr">
        <is>
          <t>Bag</t>
        </is>
      </c>
      <c r="G46" s="2" t="inlineStr">
        <is>
          <t>Medium</t>
        </is>
      </c>
      <c r="H46" s="2" t="inlineStr">
        <is>
          <t>Typical: 450 x 550 mm; 15 µm</t>
        </is>
      </c>
      <c r="I46" s="2" t="inlineStr">
        <is>
          <t>White; printed</t>
        </is>
      </c>
      <c r="J46" s="2" t="inlineStr">
        <is>
          <t>Variable (0–100% PCR depending on jurisdiction)</t>
        </is>
      </c>
      <c r="K46" s="2" t="n">
        <v>6.2</v>
      </c>
      <c r="L46" s="2" t="inlineStr">
        <is>
          <t>Typical estimate</t>
        </is>
      </c>
      <c r="M46" s="2" t="inlineStr">
        <is>
          <t>Often regulated/restricted in many markets.</t>
        </is>
      </c>
      <c r="N46" s="2" t="inlineStr">
        <is>
          <t>Amcor/industry films (generic)</t>
        </is>
      </c>
      <c r="O46" s="2" t="inlineStr">
        <is>
          <t>https://www.amcor.com/products/search</t>
        </is>
      </c>
    </row>
    <row r="47">
      <c r="A47" s="2" t="inlineStr">
        <is>
          <t>PKG0046</t>
        </is>
      </c>
      <c r="B47" s="2" t="inlineStr">
        <is>
          <t>Padded mailer (paper exterior + bubble lining)</t>
        </is>
      </c>
      <c r="C47" s="2" t="inlineStr">
        <is>
          <t>Secondary</t>
        </is>
      </c>
      <c r="D47" s="2" t="inlineStr">
        <is>
          <t>PA.RECYCLED 45.0g (Outer paper); PL.PE.FILM 18.0g (Bubble lining); OT.OTHER_PACK 1.0g (Adhesive strip)</t>
        </is>
      </c>
      <c r="E47" s="2" t="inlineStr">
        <is>
          <t>Mailer</t>
        </is>
      </c>
      <c r="F47" s="2" t="inlineStr">
        <is>
          <t>Envelope</t>
        </is>
      </c>
      <c r="G47" s="2" t="inlineStr">
        <is>
          <t>A4-ish</t>
        </is>
      </c>
      <c r="H47" s="2" t="inlineStr">
        <is>
          <t>Typical: 320 x 240 mm</t>
        </is>
      </c>
      <c r="I47" s="2" t="inlineStr">
        <is>
          <t>Brown; white</t>
        </is>
      </c>
      <c r="J47" s="2" t="inlineStr">
        <is>
          <t>Variable; paper may be recycled; bubble often virgin</t>
        </is>
      </c>
      <c r="K47" s="2" t="n">
        <v>64</v>
      </c>
      <c r="L47" s="2" t="inlineStr">
        <is>
          <t>Typical estimate</t>
        </is>
      </c>
      <c r="M47" s="2" t="inlineStr">
        <is>
          <t>Composite mailer; materials split for EPR classification.</t>
        </is>
      </c>
      <c r="N47" s="2" t="inlineStr">
        <is>
          <t>E-commerce packaging baseline</t>
        </is>
      </c>
      <c r="O47" s="2" t="inlineStr">
        <is>
          <t>https://productcatalogue.visy.com/products?types=e-commerce</t>
        </is>
      </c>
    </row>
    <row r="48">
      <c r="A48" s="2" t="inlineStr">
        <is>
          <t>PKG0047</t>
        </is>
      </c>
      <c r="B48" s="2" t="inlineStr">
        <is>
          <t>EPAL Euro pallet (wood) 1200 x 800 mm</t>
        </is>
      </c>
      <c r="C48" s="2" t="inlineStr">
        <is>
          <t>Tertiary</t>
        </is>
      </c>
      <c r="D48" s="2" t="inlineStr">
        <is>
          <t>WO.PACK 25000.0g (Pallet)</t>
        </is>
      </c>
      <c r="E48" s="2" t="inlineStr">
        <is>
          <t>Pallet</t>
        </is>
      </c>
      <c r="F48" s="2" t="inlineStr">
        <is>
          <t>Rectangular</t>
        </is>
      </c>
      <c r="G48" s="2" t="inlineStr">
        <is>
          <t>EPAL 1</t>
        </is>
      </c>
      <c r="H48" s="2" t="inlineStr">
        <is>
          <t>1200 x 800 x 144 mm</t>
        </is>
      </c>
      <c r="I48" s="2" t="inlineStr">
        <is>
          <t>Natural wood</t>
        </is>
      </c>
      <c r="J48" s="2" t="inlineStr">
        <is>
          <t>Reusable asset (recycled content not typically declared)</t>
        </is>
      </c>
      <c r="K48" s="2" t="n">
        <v>25000</v>
      </c>
      <c r="L48" s="2" t="inlineStr">
        <is>
          <t>Spec (EPAL)</t>
        </is>
      </c>
      <c r="M48" s="2" t="inlineStr">
        <is>
          <t>Standard European pallet per EPAL spec.</t>
        </is>
      </c>
      <c r="N48" s="2" t="inlineStr">
        <is>
          <t>EPAL Euro Pallet specifications</t>
        </is>
      </c>
      <c r="O48" s="2" t="inlineStr">
        <is>
          <t>https://www.epal-pallets.org/eu-en/load-carriers/epal-euro-pallet</t>
        </is>
      </c>
    </row>
    <row r="49">
      <c r="A49" s="2" t="inlineStr">
        <is>
          <t>PKG0048</t>
        </is>
      </c>
      <c r="B49" s="2" t="inlineStr">
        <is>
          <t>Australian standard pallet (wood) 1165 x 1165 mm</t>
        </is>
      </c>
      <c r="C49" s="2" t="inlineStr">
        <is>
          <t>Tertiary</t>
        </is>
      </c>
      <c r="D49" s="2" t="inlineStr">
        <is>
          <t>WO.PACK 28000.0g (Pallet)</t>
        </is>
      </c>
      <c r="E49" s="2" t="inlineStr">
        <is>
          <t>Pallet</t>
        </is>
      </c>
      <c r="F49" s="2" t="inlineStr">
        <is>
          <t>Square</t>
        </is>
      </c>
      <c r="G49" s="2" t="inlineStr">
        <is>
          <t>1165x1165</t>
        </is>
      </c>
      <c r="H49" s="2" t="inlineStr">
        <is>
          <t>1165 x 1165 x 150 mm (typical)</t>
        </is>
      </c>
      <c r="I49" s="2" t="inlineStr">
        <is>
          <t>Natural wood</t>
        </is>
      </c>
      <c r="J49" s="2" t="inlineStr">
        <is>
          <t>Reusable asset</t>
        </is>
      </c>
      <c r="K49" s="2" t="n">
        <v>28000</v>
      </c>
      <c r="L49" s="2" t="inlineStr">
        <is>
          <t>Typical estimate</t>
        </is>
      </c>
      <c r="M49" s="2" t="inlineStr">
        <is>
          <t>Common in AU grocery supply chains.</t>
        </is>
      </c>
      <c r="N49" s="2" t="inlineStr">
        <is>
          <t>Visy pallets solutions (fibre/transport)</t>
        </is>
      </c>
      <c r="O49" s="2" t="inlineStr">
        <is>
          <t>https://productcatalogue.visy.com/products?types=fibre_pallets</t>
        </is>
      </c>
    </row>
    <row r="50">
      <c r="A50" s="2" t="inlineStr">
        <is>
          <t>PKG0049</t>
        </is>
      </c>
      <c r="B50" s="2" t="inlineStr">
        <is>
          <t>Fibre pallet 1200 x 1000 mm (paper-based composite)</t>
        </is>
      </c>
      <c r="C50" s="2" t="inlineStr">
        <is>
          <t>Tertiary</t>
        </is>
      </c>
      <c r="D50" s="2" t="inlineStr">
        <is>
          <t>CO.FIBRE_COMP 9000.0g (Pallet structure)</t>
        </is>
      </c>
      <c r="E50" s="2" t="inlineStr">
        <is>
          <t>Pallet</t>
        </is>
      </c>
      <c r="F50" s="2" t="inlineStr">
        <is>
          <t>Rectangular</t>
        </is>
      </c>
      <c r="G50" s="2" t="inlineStr">
        <is>
          <t>1200x1000</t>
        </is>
      </c>
      <c r="H50" s="2" t="inlineStr">
        <is>
          <t>1200 x 1000 x 140 mm (typical)</t>
        </is>
      </c>
      <c r="I50" s="2" t="inlineStr">
        <is>
          <t>Brown</t>
        </is>
      </c>
      <c r="J50" s="2" t="inlineStr">
        <is>
          <t>Often high recycled fibre; verify per design</t>
        </is>
      </c>
      <c r="K50" s="2" t="n">
        <v>9000</v>
      </c>
      <c r="L50" s="2" t="inlineStr">
        <is>
          <t>Typical estimate</t>
        </is>
      </c>
      <c r="M50" s="2" t="inlineStr">
        <is>
          <t>Lightweight pallet alternative; material mix varies.</t>
        </is>
      </c>
      <c r="N50" s="2" t="inlineStr">
        <is>
          <t>Visy Fibre Pallets catalogue</t>
        </is>
      </c>
      <c r="O50" s="2" t="inlineStr">
        <is>
          <t>https://api.productcatalogue.visy.com/api/v1/search/print-results?industry%5B%5D=null&amp;types%5B%5D=fibre_pallets</t>
        </is>
      </c>
    </row>
    <row r="51">
      <c r="A51" s="2" t="inlineStr">
        <is>
          <t>PKG0050</t>
        </is>
      </c>
      <c r="B51" s="2" t="inlineStr">
        <is>
          <t>Stretch wrap film used per pallet load (typical)</t>
        </is>
      </c>
      <c r="C51" s="2" t="inlineStr">
        <is>
          <t>Tertiary</t>
        </is>
      </c>
      <c r="D51" s="2" t="inlineStr">
        <is>
          <t>PL.PE.FILM 200.0g (Stretch film)</t>
        </is>
      </c>
      <c r="E51" s="2" t="inlineStr">
        <is>
          <t>Stretch wrap</t>
        </is>
      </c>
      <c r="F51" s="2" t="inlineStr">
        <is>
          <t>Film</t>
        </is>
      </c>
      <c r="G51" s="2" t="inlineStr">
        <is>
          <t>Per pallet load</t>
        </is>
      </c>
      <c r="H51" s="2" t="inlineStr">
        <is>
          <t>Film: 500 mm width; 23 µm; ~200 m used</t>
        </is>
      </c>
      <c r="I51" s="2" t="inlineStr">
        <is>
          <t>Clear</t>
        </is>
      </c>
      <c r="J51" s="2" t="inlineStr">
        <is>
          <t>Variable; PCR content depends on supplier</t>
        </is>
      </c>
      <c r="K51" s="2" t="n">
        <v>200</v>
      </c>
      <c r="L51" s="2" t="inlineStr">
        <is>
          <t>Typical estimate</t>
        </is>
      </c>
      <c r="M51" s="2" t="inlineStr">
        <is>
          <t>Consumption-based line item for palletisation.</t>
        </is>
      </c>
      <c r="N51" s="2" t="inlineStr">
        <is>
          <t>Amcor stretch film products (generic)</t>
        </is>
      </c>
      <c r="O51" s="2" t="inlineStr">
        <is>
          <t>https://www.amcor.com/products/search</t>
        </is>
      </c>
    </row>
    <row r="52">
      <c r="A52" s="2" t="inlineStr">
        <is>
          <t>PKG0051</t>
        </is>
      </c>
      <c r="B52" s="2" t="inlineStr">
        <is>
          <t>PP strapping used per pallet load (typical)</t>
        </is>
      </c>
      <c r="C52" s="2" t="inlineStr">
        <is>
          <t>Tertiary</t>
        </is>
      </c>
      <c r="D52" s="2" t="inlineStr">
        <is>
          <t>PL.PP.FILM 60.0g (Strapping)</t>
        </is>
      </c>
      <c r="E52" s="2" t="inlineStr">
        <is>
          <t>Strap</t>
        </is>
      </c>
      <c r="F52" s="2" t="inlineStr">
        <is>
          <t>Band</t>
        </is>
      </c>
      <c r="G52" s="2" t="inlineStr">
        <is>
          <t>Per pallet load</t>
        </is>
      </c>
      <c r="H52" s="2" t="inlineStr">
        <is>
          <t>Typical: 12 mm width; 0.6 mm; 6–10 m</t>
        </is>
      </c>
      <c r="I52" s="2" t="inlineStr">
        <is>
          <t>Black; blue</t>
        </is>
      </c>
      <c r="J52" s="2" t="inlineStr">
        <is>
          <t>Variable</t>
        </is>
      </c>
      <c r="K52" s="2" t="n">
        <v>60</v>
      </c>
      <c r="L52" s="2" t="inlineStr">
        <is>
          <t>Typical estimate</t>
        </is>
      </c>
      <c r="M52" s="2" t="inlineStr">
        <is>
          <t>Used for securing loads or cartons.</t>
        </is>
      </c>
      <c r="N52" s="2" t="inlineStr">
        <is>
          <t>Logistics baseline</t>
        </is>
      </c>
      <c r="O52" s="2" t="inlineStr">
        <is>
          <t>https://productcatalogue.visy.com/</t>
        </is>
      </c>
    </row>
    <row r="53">
      <c r="A53" s="2" t="inlineStr">
        <is>
          <t>PKG0052</t>
        </is>
      </c>
      <c r="B53" s="2" t="inlineStr">
        <is>
          <t>Paper slip sheet (pallet alternative) 1200 x 1000</t>
        </is>
      </c>
      <c r="C53" s="2" t="inlineStr">
        <is>
          <t>Tertiary</t>
        </is>
      </c>
      <c r="D53" s="2" t="inlineStr">
        <is>
          <t>PA.RECYCLED 750.0g (Slip sheet)</t>
        </is>
      </c>
      <c r="E53" s="2" t="inlineStr">
        <is>
          <t>Slip sheet</t>
        </is>
      </c>
      <c r="F53" s="2" t="inlineStr">
        <is>
          <t>Rectangular</t>
        </is>
      </c>
      <c r="G53" s="2" t="inlineStr">
        <is>
          <t>1200 x 1000</t>
        </is>
      </c>
      <c r="H53" s="2" t="inlineStr">
        <is>
          <t>1200 x 1000 mm; 1.5 mm thick (typical)</t>
        </is>
      </c>
      <c r="I53" s="2" t="inlineStr">
        <is>
          <t>Brown</t>
        </is>
      </c>
      <c r="J53" s="2" t="inlineStr">
        <is>
          <t>Typically high recycled fibre; verify</t>
        </is>
      </c>
      <c r="K53" s="2" t="n">
        <v>750</v>
      </c>
      <c r="L53" s="2" t="inlineStr">
        <is>
          <t>Typical estimate</t>
        </is>
      </c>
      <c r="M53" s="2" t="inlineStr">
        <is>
          <t>Used with push-pull attachments.</t>
        </is>
      </c>
      <c r="N53" s="2" t="inlineStr">
        <is>
          <t>Visy paper-based logistics packaging (generic)</t>
        </is>
      </c>
      <c r="O53" s="2" t="inlineStr">
        <is>
          <t>https://productcatalogue.visy.com/products?types=cardboard_boxes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8" customWidth="1" min="4" max="4"/>
    <col width="55" customWidth="1" min="5" max="5"/>
    <col width="18" customWidth="1" min="6" max="6"/>
    <col width="16" customWidth="1" min="7" max="7"/>
    <col width="18" customWidth="1" min="8" max="8"/>
    <col width="28" customWidth="1" min="9" max="9"/>
  </cols>
  <sheetData>
    <row r="1">
      <c r="A1" s="1" t="inlineStr">
        <is>
          <t>PackID</t>
        </is>
      </c>
      <c r="B1" s="1" t="inlineStr">
        <is>
          <t>Component</t>
        </is>
      </c>
      <c r="C1" s="1" t="inlineStr">
        <is>
          <t>Material TaxonID</t>
        </is>
      </c>
      <c r="D1" s="1" t="inlineStr">
        <is>
          <t>Material Name</t>
        </is>
      </c>
      <c r="E1" s="1" t="inlineStr">
        <is>
          <t>Material Path</t>
        </is>
      </c>
      <c r="F1" s="1" t="inlineStr">
        <is>
          <t>Material Weight (g)</t>
        </is>
      </c>
      <c r="G1" s="1" t="inlineStr">
        <is>
          <t>% of Pack Weight</t>
        </is>
      </c>
      <c r="H1" s="1" t="inlineStr">
        <is>
          <t>Basis</t>
        </is>
      </c>
      <c r="I1" s="1" t="inlineStr">
        <is>
          <t>Notes</t>
        </is>
      </c>
    </row>
    <row r="2">
      <c r="A2" s="2" t="inlineStr">
        <is>
          <t>PKG0001</t>
        </is>
      </c>
      <c r="B2" s="2" t="inlineStr">
        <is>
          <t>Bottle body</t>
        </is>
      </c>
      <c r="C2" s="2" t="inlineStr">
        <is>
          <t>PL.PET.BF.TR.CLEAR</t>
        </is>
      </c>
      <c r="D2" s="2" t="inlineStr">
        <is>
          <t>PET bottles &amp; flasks — transparent colourless</t>
        </is>
      </c>
      <c r="E2" s="2" t="inlineStr">
        <is>
          <t>Plastics &gt; Rigid plastics &gt; PET (polyethylene terephthalate) &gt; PET bottles &amp; flasks — transparent colourless</t>
        </is>
      </c>
      <c r="F2" s="2" t="n">
        <v>21</v>
      </c>
      <c r="G2" s="3">
        <f>F2/SUMIF($A$2:$A$118,A2,$F$2:$F$118)</f>
        <v/>
      </c>
      <c r="H2" s="2" t="inlineStr">
        <is>
          <t>Spec (Berlin Packaging)</t>
        </is>
      </c>
      <c r="I2" s="2" t="inlineStr">
        <is>
          <t>Bottle weight</t>
        </is>
      </c>
    </row>
    <row r="3">
      <c r="A3" s="2" t="inlineStr">
        <is>
          <t>PKG0001</t>
        </is>
      </c>
      <c r="B3" s="2" t="inlineStr">
        <is>
          <t>Cap</t>
        </is>
      </c>
      <c r="C3" s="2" t="inlineStr">
        <is>
          <t>PL.PP.RIGID</t>
        </is>
      </c>
      <c r="D3" s="2" t="inlineStr">
        <is>
          <t>PP rigid (bottles, caps etc.)</t>
        </is>
      </c>
      <c r="E3" s="2" t="inlineStr">
        <is>
          <t>Plastics &gt; Rigid plastics &gt; PP rigid (bottles, caps etc.)</t>
        </is>
      </c>
      <c r="F3" s="2" t="n">
        <v>2</v>
      </c>
      <c r="G3" s="3">
        <f>F3/SUMIF($A$2:$A$118,A3,$F$2:$F$118)</f>
        <v/>
      </c>
      <c r="H3" s="2" t="inlineStr">
        <is>
          <t>Estimate</t>
        </is>
      </c>
      <c r="I3" s="2" t="inlineStr">
        <is>
          <t>Typical PP cap weight for 38mm closure</t>
        </is>
      </c>
    </row>
    <row r="4">
      <c r="A4" s="2" t="inlineStr">
        <is>
          <t>PKG0001</t>
        </is>
      </c>
      <c r="B4" s="2" t="inlineStr">
        <is>
          <t>Label</t>
        </is>
      </c>
      <c r="C4" s="2" t="inlineStr">
        <is>
          <t>PA.MONO</t>
        </is>
      </c>
      <c r="D4" s="2" t="inlineStr">
        <is>
          <t>Paper/cardboard — mono-material</t>
        </is>
      </c>
      <c r="E4" s="2" t="inlineStr">
        <is>
          <t>Paper &amp; Cardboard &gt; Paper/cardboard — mono-material</t>
        </is>
      </c>
      <c r="F4" s="2" t="n">
        <v>0.6</v>
      </c>
      <c r="G4" s="3">
        <f>F4/SUMIF($A$2:$A$118,A4,$F$2:$F$118)</f>
        <v/>
      </c>
      <c r="H4" s="2" t="inlineStr">
        <is>
          <t>Estimate</t>
        </is>
      </c>
      <c r="I4" s="2" t="inlineStr">
        <is>
          <t>Paper label + adhesive (adhesive not separated)</t>
        </is>
      </c>
    </row>
    <row r="5">
      <c r="A5" s="2" t="inlineStr">
        <is>
          <t>PKG0002</t>
        </is>
      </c>
      <c r="B5" s="2" t="inlineStr">
        <is>
          <t>Bottle body</t>
        </is>
      </c>
      <c r="C5" s="2" t="inlineStr">
        <is>
          <t>PL.PET.BF.TR.CLEAR</t>
        </is>
      </c>
      <c r="D5" s="2" t="inlineStr">
        <is>
          <t>PET bottles &amp; flasks — transparent colourless</t>
        </is>
      </c>
      <c r="E5" s="2" t="inlineStr">
        <is>
          <t>Plastics &gt; Rigid plastics &gt; PET (polyethylene terephthalate) &gt; PET bottles &amp; flasks — transparent colourless</t>
        </is>
      </c>
      <c r="F5" s="2" t="n">
        <v>24</v>
      </c>
      <c r="G5" s="3">
        <f>F5/SUMIF($A$2:$A$118,A5,$F$2:$F$118)</f>
        <v/>
      </c>
      <c r="H5" s="2" t="inlineStr">
        <is>
          <t>Estimate</t>
        </is>
      </c>
      <c r="I5" s="2" t="inlineStr">
        <is>
          <t>Typical lightweight 500 mL PET bottle body</t>
        </is>
      </c>
    </row>
    <row r="6">
      <c r="A6" s="2" t="inlineStr">
        <is>
          <t>PKG0002</t>
        </is>
      </c>
      <c r="B6" s="2" t="inlineStr">
        <is>
          <t>Cap</t>
        </is>
      </c>
      <c r="C6" s="2" t="inlineStr">
        <is>
          <t>PL.PP.RIGID</t>
        </is>
      </c>
      <c r="D6" s="2" t="inlineStr">
        <is>
          <t>PP rigid (bottles, caps etc.)</t>
        </is>
      </c>
      <c r="E6" s="2" t="inlineStr">
        <is>
          <t>Plastics &gt; Rigid plastics &gt; PP rigid (bottles, caps etc.)</t>
        </is>
      </c>
      <c r="F6" s="2" t="n">
        <v>1.8</v>
      </c>
      <c r="G6" s="3">
        <f>F6/SUMIF($A$2:$A$118,A6,$F$2:$F$118)</f>
        <v/>
      </c>
      <c r="H6" s="2" t="inlineStr">
        <is>
          <t>Estimate</t>
        </is>
      </c>
      <c r="I6" s="2" t="inlineStr">
        <is>
          <t>Typical 28mm cap</t>
        </is>
      </c>
    </row>
    <row r="7">
      <c r="A7" s="2" t="inlineStr">
        <is>
          <t>PKG0002</t>
        </is>
      </c>
      <c r="B7" s="2" t="inlineStr">
        <is>
          <t>Label</t>
        </is>
      </c>
      <c r="C7" s="2" t="inlineStr">
        <is>
          <t>PA.MONO</t>
        </is>
      </c>
      <c r="D7" s="2" t="inlineStr">
        <is>
          <t>Paper/cardboard — mono-material</t>
        </is>
      </c>
      <c r="E7" s="2" t="inlineStr">
        <is>
          <t>Paper &amp; Cardboard &gt; Paper/cardboard — mono-material</t>
        </is>
      </c>
      <c r="F7" s="2" t="n">
        <v>0.7</v>
      </c>
      <c r="G7" s="3">
        <f>F7/SUMIF($A$2:$A$118,A7,$F$2:$F$118)</f>
        <v/>
      </c>
      <c r="H7" s="2" t="inlineStr">
        <is>
          <t>Estimate</t>
        </is>
      </c>
      <c r="I7" s="2" t="inlineStr">
        <is>
          <t>Paper label</t>
        </is>
      </c>
    </row>
    <row r="8">
      <c r="A8" s="2" t="inlineStr">
        <is>
          <t>PKG0003</t>
        </is>
      </c>
      <c r="B8" s="2" t="inlineStr">
        <is>
          <t>Bottle body</t>
        </is>
      </c>
      <c r="C8" s="2" t="inlineStr">
        <is>
          <t>PL.PET.BF.TR.CLEAR</t>
        </is>
      </c>
      <c r="D8" s="2" t="inlineStr">
        <is>
          <t>PET bottles &amp; flasks — transparent colourless</t>
        </is>
      </c>
      <c r="E8" s="2" t="inlineStr">
        <is>
          <t>Plastics &gt; Rigid plastics &gt; PET (polyethylene terephthalate) &gt; PET bottles &amp; flasks — transparent colourless</t>
        </is>
      </c>
      <c r="F8" s="2" t="n">
        <v>32</v>
      </c>
      <c r="G8" s="3">
        <f>F8/SUMIF($A$2:$A$118,A8,$F$2:$F$118)</f>
        <v/>
      </c>
      <c r="H8" s="2" t="inlineStr">
        <is>
          <t>Estimate</t>
        </is>
      </c>
      <c r="I8" s="2" t="inlineStr">
        <is>
          <t>Typical 1 L PET bottle body</t>
        </is>
      </c>
    </row>
    <row r="9">
      <c r="A9" s="2" t="inlineStr">
        <is>
          <t>PKG0003</t>
        </is>
      </c>
      <c r="B9" s="2" t="inlineStr">
        <is>
          <t>Cap</t>
        </is>
      </c>
      <c r="C9" s="2" t="inlineStr">
        <is>
          <t>PL.PP.RIGID</t>
        </is>
      </c>
      <c r="D9" s="2" t="inlineStr">
        <is>
          <t>PP rigid (bottles, caps etc.)</t>
        </is>
      </c>
      <c r="E9" s="2" t="inlineStr">
        <is>
          <t>Plastics &gt; Rigid plastics &gt; PP rigid (bottles, caps etc.)</t>
        </is>
      </c>
      <c r="F9" s="2" t="n">
        <v>2</v>
      </c>
      <c r="G9" s="3">
        <f>F9/SUMIF($A$2:$A$118,A9,$F$2:$F$118)</f>
        <v/>
      </c>
      <c r="H9" s="2" t="inlineStr">
        <is>
          <t>Estimate</t>
        </is>
      </c>
      <c r="I9" s="2" t="inlineStr">
        <is>
          <t>Typical 28mm cap</t>
        </is>
      </c>
    </row>
    <row r="10">
      <c r="A10" s="2" t="inlineStr">
        <is>
          <t>PKG0003</t>
        </is>
      </c>
      <c r="B10" s="2" t="inlineStr">
        <is>
          <t>Label</t>
        </is>
      </c>
      <c r="C10" s="2" t="inlineStr">
        <is>
          <t>PA.MONO</t>
        </is>
      </c>
      <c r="D10" s="2" t="inlineStr">
        <is>
          <t>Paper/cardboard — mono-material</t>
        </is>
      </c>
      <c r="E10" s="2" t="inlineStr">
        <is>
          <t>Paper &amp; Cardboard &gt; Paper/cardboard — mono-material</t>
        </is>
      </c>
      <c r="F10" s="2" t="n">
        <v>1</v>
      </c>
      <c r="G10" s="3">
        <f>F10/SUMIF($A$2:$A$118,A10,$F$2:$F$118)</f>
        <v/>
      </c>
      <c r="H10" s="2" t="inlineStr">
        <is>
          <t>Estimate</t>
        </is>
      </c>
      <c r="I10" s="2" t="inlineStr">
        <is>
          <t>Paper label</t>
        </is>
      </c>
    </row>
    <row r="11">
      <c r="A11" s="2" t="inlineStr">
        <is>
          <t>PKG0004</t>
        </is>
      </c>
      <c r="B11" s="2" t="inlineStr">
        <is>
          <t>Bottle body</t>
        </is>
      </c>
      <c r="C11" s="2" t="inlineStr">
        <is>
          <t>PL.PET.BF.TR.CLEAR</t>
        </is>
      </c>
      <c r="D11" s="2" t="inlineStr">
        <is>
          <t>PET bottles &amp; flasks — transparent colourless</t>
        </is>
      </c>
      <c r="E11" s="2" t="inlineStr">
        <is>
          <t>Plastics &gt; Rigid plastics &gt; PET (polyethylene terephthalate) &gt; PET bottles &amp; flasks — transparent colourless</t>
        </is>
      </c>
      <c r="F11" s="2" t="n">
        <v>52</v>
      </c>
      <c r="G11" s="3">
        <f>F11/SUMIF($A$2:$A$118,A11,$F$2:$F$118)</f>
        <v/>
      </c>
      <c r="H11" s="2" t="inlineStr">
        <is>
          <t>Estimate</t>
        </is>
      </c>
      <c r="I11" s="2" t="inlineStr">
        <is>
          <t>Typical 2 L PET bottle body</t>
        </is>
      </c>
    </row>
    <row r="12">
      <c r="A12" s="2" t="inlineStr">
        <is>
          <t>PKG0004</t>
        </is>
      </c>
      <c r="B12" s="2" t="inlineStr">
        <is>
          <t>Cap</t>
        </is>
      </c>
      <c r="C12" s="2" t="inlineStr">
        <is>
          <t>PL.PP.RIGID</t>
        </is>
      </c>
      <c r="D12" s="2" t="inlineStr">
        <is>
          <t>PP rigid (bottles, caps etc.)</t>
        </is>
      </c>
      <c r="E12" s="2" t="inlineStr">
        <is>
          <t>Plastics &gt; Rigid plastics &gt; PP rigid (bottles, caps etc.)</t>
        </is>
      </c>
      <c r="F12" s="2" t="n">
        <v>2.2</v>
      </c>
      <c r="G12" s="3">
        <f>F12/SUMIF($A$2:$A$118,A12,$F$2:$F$118)</f>
        <v/>
      </c>
      <c r="H12" s="2" t="inlineStr">
        <is>
          <t>Estimate</t>
        </is>
      </c>
      <c r="I12" s="2" t="inlineStr">
        <is>
          <t>Typical 28mm cap</t>
        </is>
      </c>
    </row>
    <row r="13">
      <c r="A13" s="2" t="inlineStr">
        <is>
          <t>PKG0004</t>
        </is>
      </c>
      <c r="B13" s="2" t="inlineStr">
        <is>
          <t>Label</t>
        </is>
      </c>
      <c r="C13" s="2" t="inlineStr">
        <is>
          <t>PA.MONO</t>
        </is>
      </c>
      <c r="D13" s="2" t="inlineStr">
        <is>
          <t>Paper/cardboard — mono-material</t>
        </is>
      </c>
      <c r="E13" s="2" t="inlineStr">
        <is>
          <t>Paper &amp; Cardboard &gt; Paper/cardboard — mono-material</t>
        </is>
      </c>
      <c r="F13" s="2" t="n">
        <v>1.4</v>
      </c>
      <c r="G13" s="3">
        <f>F13/SUMIF($A$2:$A$118,A13,$F$2:$F$118)</f>
        <v/>
      </c>
      <c r="H13" s="2" t="inlineStr">
        <is>
          <t>Estimate</t>
        </is>
      </c>
      <c r="I13" s="2" t="inlineStr">
        <is>
          <t>Paper label</t>
        </is>
      </c>
    </row>
    <row r="14">
      <c r="A14" s="2" t="inlineStr">
        <is>
          <t>PKG0005</t>
        </is>
      </c>
      <c r="B14" s="2" t="inlineStr">
        <is>
          <t>Bottle body</t>
        </is>
      </c>
      <c r="C14" s="2" t="inlineStr">
        <is>
          <t>PL.PE.RIGID</t>
        </is>
      </c>
      <c r="D14" s="2" t="inlineStr">
        <is>
          <t>PE rigid (bottles, caps, trays etc.)</t>
        </is>
      </c>
      <c r="E14" s="2" t="inlineStr">
        <is>
          <t>Plastics &gt; Rigid plastics &gt; PE rigid (bottles, caps, trays etc.)</t>
        </is>
      </c>
      <c r="F14" s="2" t="n">
        <v>42</v>
      </c>
      <c r="G14" s="3">
        <f>F14/SUMIF($A$2:$A$118,A14,$F$2:$F$118)</f>
        <v/>
      </c>
      <c r="H14" s="2" t="inlineStr">
        <is>
          <t>Spec (Amcor)</t>
        </is>
      </c>
      <c r="I14" s="2" t="inlineStr">
        <is>
          <t>HDPE bottle weight</t>
        </is>
      </c>
    </row>
    <row r="15">
      <c r="A15" s="2" t="inlineStr">
        <is>
          <t>PKG0005</t>
        </is>
      </c>
      <c r="B15" s="2" t="inlineStr">
        <is>
          <t>Cap</t>
        </is>
      </c>
      <c r="C15" s="2" t="inlineStr">
        <is>
          <t>PL.PP.RIGID</t>
        </is>
      </c>
      <c r="D15" s="2" t="inlineStr">
        <is>
          <t>PP rigid (bottles, caps etc.)</t>
        </is>
      </c>
      <c r="E15" s="2" t="inlineStr">
        <is>
          <t>Plastics &gt; Rigid plastics &gt; PP rigid (bottles, caps etc.)</t>
        </is>
      </c>
      <c r="F15" s="2" t="n">
        <v>3</v>
      </c>
      <c r="G15" s="3">
        <f>F15/SUMIF($A$2:$A$118,A15,$F$2:$F$118)</f>
        <v/>
      </c>
      <c r="H15" s="2" t="inlineStr">
        <is>
          <t>Estimate</t>
        </is>
      </c>
      <c r="I15" s="2" t="inlineStr">
        <is>
          <t>Typical 33mm cap</t>
        </is>
      </c>
    </row>
    <row r="16">
      <c r="A16" s="2" t="inlineStr">
        <is>
          <t>PKG0005</t>
        </is>
      </c>
      <c r="B16" s="2" t="inlineStr">
        <is>
          <t>Label</t>
        </is>
      </c>
      <c r="C16" s="2" t="inlineStr">
        <is>
          <t>PA.MONO</t>
        </is>
      </c>
      <c r="D16" s="2" t="inlineStr">
        <is>
          <t>Paper/cardboard — mono-material</t>
        </is>
      </c>
      <c r="E16" s="2" t="inlineStr">
        <is>
          <t>Paper &amp; Cardboard &gt; Paper/cardboard — mono-material</t>
        </is>
      </c>
      <c r="F16" s="2" t="n">
        <v>1</v>
      </c>
      <c r="G16" s="3">
        <f>F16/SUMIF($A$2:$A$118,A16,$F$2:$F$118)</f>
        <v/>
      </c>
      <c r="H16" s="2" t="inlineStr">
        <is>
          <t>Estimate</t>
        </is>
      </c>
      <c r="I16" s="2" t="inlineStr">
        <is>
          <t>Paper label</t>
        </is>
      </c>
    </row>
    <row r="17">
      <c r="A17" s="2" t="inlineStr">
        <is>
          <t>PKG0006</t>
        </is>
      </c>
      <c r="B17" s="2" t="inlineStr">
        <is>
          <t>Can body</t>
        </is>
      </c>
      <c r="C17" s="2" t="inlineStr">
        <is>
          <t>PL.PE.RIGID</t>
        </is>
      </c>
      <c r="D17" s="2" t="inlineStr">
        <is>
          <t>PE rigid (bottles, caps, trays etc.)</t>
        </is>
      </c>
      <c r="E17" s="2" t="inlineStr">
        <is>
          <t>Plastics &gt; Rigid plastics &gt; PE rigid (bottles, caps, trays etc.)</t>
        </is>
      </c>
      <c r="F17" s="2" t="n">
        <v>350</v>
      </c>
      <c r="G17" s="3">
        <f>F17/SUMIF($A$2:$A$118,A17,$F$2:$F$118)</f>
        <v/>
      </c>
      <c r="H17" s="2" t="inlineStr">
        <is>
          <t>Estimate</t>
        </is>
      </c>
      <c r="I17" s="2" t="inlineStr">
        <is>
          <t>Typical 10 L HDPE jerrycan body</t>
        </is>
      </c>
    </row>
    <row r="18">
      <c r="A18" s="2" t="inlineStr">
        <is>
          <t>PKG0006</t>
        </is>
      </c>
      <c r="B18" s="2" t="inlineStr">
        <is>
          <t>Cap</t>
        </is>
      </c>
      <c r="C18" s="2" t="inlineStr">
        <is>
          <t>PL.PP.RIGID</t>
        </is>
      </c>
      <c r="D18" s="2" t="inlineStr">
        <is>
          <t>PP rigid (bottles, caps etc.)</t>
        </is>
      </c>
      <c r="E18" s="2" t="inlineStr">
        <is>
          <t>Plastics &gt; Rigid plastics &gt; PP rigid (bottles, caps etc.)</t>
        </is>
      </c>
      <c r="F18" s="2" t="n">
        <v>12</v>
      </c>
      <c r="G18" s="3">
        <f>F18/SUMIF($A$2:$A$118,A18,$F$2:$F$118)</f>
        <v/>
      </c>
      <c r="H18" s="2" t="inlineStr">
        <is>
          <t>Estimate</t>
        </is>
      </c>
      <c r="I18" s="2" t="inlineStr">
        <is>
          <t>Typical large closure</t>
        </is>
      </c>
    </row>
    <row r="19">
      <c r="A19" s="2" t="inlineStr">
        <is>
          <t>PKG0006</t>
        </is>
      </c>
      <c r="B19" s="2" t="inlineStr">
        <is>
          <t>Label</t>
        </is>
      </c>
      <c r="C19" s="2" t="inlineStr">
        <is>
          <t>PA.MONO</t>
        </is>
      </c>
      <c r="D19" s="2" t="inlineStr">
        <is>
          <t>Paper/cardboard — mono-material</t>
        </is>
      </c>
      <c r="E19" s="2" t="inlineStr">
        <is>
          <t>Paper &amp; Cardboard &gt; Paper/cardboard — mono-material</t>
        </is>
      </c>
      <c r="F19" s="2" t="n">
        <v>2</v>
      </c>
      <c r="G19" s="3">
        <f>F19/SUMIF($A$2:$A$118,A19,$F$2:$F$118)</f>
        <v/>
      </c>
      <c r="H19" s="2" t="inlineStr">
        <is>
          <t>Estimate</t>
        </is>
      </c>
      <c r="I19" s="2" t="inlineStr">
        <is>
          <t>Paper label</t>
        </is>
      </c>
    </row>
    <row r="20">
      <c r="A20" s="2" t="inlineStr">
        <is>
          <t>PKG0007</t>
        </is>
      </c>
      <c r="B20" s="2" t="inlineStr">
        <is>
          <t>Tub body</t>
        </is>
      </c>
      <c r="C20" s="2" t="inlineStr">
        <is>
          <t>PL.PP.RIGID</t>
        </is>
      </c>
      <c r="D20" s="2" t="inlineStr">
        <is>
          <t>PP rigid (bottles, caps etc.)</t>
        </is>
      </c>
      <c r="E20" s="2" t="inlineStr">
        <is>
          <t>Plastics &gt; Rigid plastics &gt; PP rigid (bottles, caps etc.)</t>
        </is>
      </c>
      <c r="F20" s="2" t="n">
        <v>6</v>
      </c>
      <c r="G20" s="3">
        <f>F20/SUMIF($A$2:$A$118,A20,$F$2:$F$118)</f>
        <v/>
      </c>
      <c r="H20" s="2" t="inlineStr">
        <is>
          <t>Estimate</t>
        </is>
      </c>
      <c r="I20" s="2" t="inlineStr">
        <is>
          <t>Typical 150 g PP tub</t>
        </is>
      </c>
    </row>
    <row r="21">
      <c r="A21" s="2" t="inlineStr">
        <is>
          <t>PKG0007</t>
        </is>
      </c>
      <c r="B21" s="2" t="inlineStr">
        <is>
          <t>Lid (foil)</t>
        </is>
      </c>
      <c r="C21" s="2" t="inlineStr">
        <is>
          <t>ME.ALU.THIN</t>
        </is>
      </c>
      <c r="D21" s="2" t="inlineStr">
        <is>
          <t>Aluminium (&lt;50 μm)</t>
        </is>
      </c>
      <c r="E21" s="2" t="inlineStr">
        <is>
          <t>Metals &gt; Aluminium &gt; Aluminium (&lt;50 μm)</t>
        </is>
      </c>
      <c r="F21" s="2" t="n">
        <v>1</v>
      </c>
      <c r="G21" s="3">
        <f>F21/SUMIF($A$2:$A$118,A21,$F$2:$F$118)</f>
        <v/>
      </c>
      <c r="H21" s="2" t="inlineStr">
        <is>
          <t>Estimate</t>
        </is>
      </c>
      <c r="I21" s="2" t="inlineStr">
        <is>
          <t>Foil lidding</t>
        </is>
      </c>
    </row>
    <row r="22">
      <c r="A22" s="2" t="inlineStr">
        <is>
          <t>PKG0007</t>
        </is>
      </c>
      <c r="B22" s="2" t="inlineStr">
        <is>
          <t>Sleeve/label</t>
        </is>
      </c>
      <c r="C22" s="2" t="inlineStr">
        <is>
          <t>PA.MONO</t>
        </is>
      </c>
      <c r="D22" s="2" t="inlineStr">
        <is>
          <t>Paper/cardboard — mono-material</t>
        </is>
      </c>
      <c r="E22" s="2" t="inlineStr">
        <is>
          <t>Paper &amp; Cardboard &gt; Paper/cardboard — mono-material</t>
        </is>
      </c>
      <c r="F22" s="2" t="n">
        <v>1</v>
      </c>
      <c r="G22" s="3">
        <f>F22/SUMIF($A$2:$A$118,A22,$F$2:$F$118)</f>
        <v/>
      </c>
      <c r="H22" s="2" t="inlineStr">
        <is>
          <t>Estimate</t>
        </is>
      </c>
      <c r="I22" s="2" t="inlineStr">
        <is>
          <t>Paper wrap label</t>
        </is>
      </c>
    </row>
    <row r="23">
      <c r="A23" s="2" t="inlineStr">
        <is>
          <t>PKG0008</t>
        </is>
      </c>
      <c r="B23" s="2" t="inlineStr">
        <is>
          <t>Tub body</t>
        </is>
      </c>
      <c r="C23" s="2" t="inlineStr">
        <is>
          <t>PL.PP.RIGID</t>
        </is>
      </c>
      <c r="D23" s="2" t="inlineStr">
        <is>
          <t>PP rigid (bottles, caps etc.)</t>
        </is>
      </c>
      <c r="E23" s="2" t="inlineStr">
        <is>
          <t>Plastics &gt; Rigid plastics &gt; PP rigid (bottles, caps etc.)</t>
        </is>
      </c>
      <c r="F23" s="2" t="n">
        <v>14</v>
      </c>
      <c r="G23" s="3">
        <f>F23/SUMIF($A$2:$A$118,A23,$F$2:$F$118)</f>
        <v/>
      </c>
      <c r="H23" s="2" t="inlineStr">
        <is>
          <t>Estimate</t>
        </is>
      </c>
      <c r="I23" s="2" t="inlineStr">
        <is>
          <t>Typical 500 g PP tub</t>
        </is>
      </c>
    </row>
    <row r="24">
      <c r="A24" s="2" t="inlineStr">
        <is>
          <t>PKG0008</t>
        </is>
      </c>
      <c r="B24" s="2" t="inlineStr">
        <is>
          <t>Lid (foil)</t>
        </is>
      </c>
      <c r="C24" s="2" t="inlineStr">
        <is>
          <t>ME.ALU.THIN</t>
        </is>
      </c>
      <c r="D24" s="2" t="inlineStr">
        <is>
          <t>Aluminium (&lt;50 μm)</t>
        </is>
      </c>
      <c r="E24" s="2" t="inlineStr">
        <is>
          <t>Metals &gt; Aluminium &gt; Aluminium (&lt;50 μm)</t>
        </is>
      </c>
      <c r="F24" s="2" t="n">
        <v>1.5</v>
      </c>
      <c r="G24" s="3">
        <f>F24/SUMIF($A$2:$A$118,A24,$F$2:$F$118)</f>
        <v/>
      </c>
      <c r="H24" s="2" t="inlineStr">
        <is>
          <t>Estimate</t>
        </is>
      </c>
      <c r="I24" s="2" t="inlineStr">
        <is>
          <t>Foil lidding</t>
        </is>
      </c>
    </row>
    <row r="25">
      <c r="A25" s="2" t="inlineStr">
        <is>
          <t>PKG0008</t>
        </is>
      </c>
      <c r="B25" s="2" t="inlineStr">
        <is>
          <t>Label</t>
        </is>
      </c>
      <c r="C25" s="2" t="inlineStr">
        <is>
          <t>PA.MONO</t>
        </is>
      </c>
      <c r="D25" s="2" t="inlineStr">
        <is>
          <t>Paper/cardboard — mono-material</t>
        </is>
      </c>
      <c r="E25" s="2" t="inlineStr">
        <is>
          <t>Paper &amp; Cardboard &gt; Paper/cardboard — mono-material</t>
        </is>
      </c>
      <c r="F25" s="2" t="n">
        <v>1.2</v>
      </c>
      <c r="G25" s="3">
        <f>F25/SUMIF($A$2:$A$118,A25,$F$2:$F$118)</f>
        <v/>
      </c>
      <c r="H25" s="2" t="inlineStr">
        <is>
          <t>Estimate</t>
        </is>
      </c>
      <c r="I25" s="2" t="inlineStr">
        <is>
          <t>Paper label</t>
        </is>
      </c>
    </row>
    <row r="26">
      <c r="A26" s="2" t="inlineStr">
        <is>
          <t>PKG0009</t>
        </is>
      </c>
      <c r="B26" s="2" t="inlineStr">
        <is>
          <t>Tray</t>
        </is>
      </c>
      <c r="C26" s="2" t="inlineStr">
        <is>
          <t>PL.PET.THERMO.OPAQUE</t>
        </is>
      </c>
      <c r="D26" s="2" t="inlineStr">
        <is>
          <t>PET thermoformed — opaque / cPET</t>
        </is>
      </c>
      <c r="E26" s="2" t="inlineStr">
        <is>
          <t>Plastics &gt; Rigid plastics &gt; PET (polyethylene terephthalate) &gt; PET thermoformed — opaque / cPET</t>
        </is>
      </c>
      <c r="F26" s="2" t="n">
        <v>18</v>
      </c>
      <c r="G26" s="3">
        <f>F26/SUMIF($A$2:$A$118,A26,$F$2:$F$118)</f>
        <v/>
      </c>
      <c r="H26" s="2" t="inlineStr">
        <is>
          <t>Estimate</t>
        </is>
      </c>
      <c r="I26" s="2" t="inlineStr">
        <is>
          <t>Typical CPET/rPET tray</t>
        </is>
      </c>
    </row>
    <row r="27">
      <c r="A27" s="2" t="inlineStr">
        <is>
          <t>PKG0009</t>
        </is>
      </c>
      <c r="B27" s="2" t="inlineStr">
        <is>
          <t>Lidding film</t>
        </is>
      </c>
      <c r="C27" s="2" t="inlineStr">
        <is>
          <t>PL.PE.FILM</t>
        </is>
      </c>
      <c r="D27" s="2" t="inlineStr">
        <is>
          <t>PE films</t>
        </is>
      </c>
      <c r="E27" s="2" t="inlineStr">
        <is>
          <t>Plastics &gt; Flexible plastics (films) &gt; PE films</t>
        </is>
      </c>
      <c r="F27" s="2" t="n">
        <v>2</v>
      </c>
      <c r="G27" s="3">
        <f>F27/SUMIF($A$2:$A$118,A27,$F$2:$F$118)</f>
        <v/>
      </c>
      <c r="H27" s="2" t="inlineStr">
        <is>
          <t>Estimate</t>
        </is>
      </c>
      <c r="I27" s="2" t="inlineStr">
        <is>
          <t>Multi-layer film mapped to PE film</t>
        </is>
      </c>
    </row>
    <row r="28">
      <c r="A28" s="2" t="inlineStr">
        <is>
          <t>PKG0009</t>
        </is>
      </c>
      <c r="B28" s="2" t="inlineStr">
        <is>
          <t>Absorbent pad</t>
        </is>
      </c>
      <c r="C28" s="2" t="inlineStr">
        <is>
          <t>PA.MONO</t>
        </is>
      </c>
      <c r="D28" s="2" t="inlineStr">
        <is>
          <t>Paper/cardboard — mono-material</t>
        </is>
      </c>
      <c r="E28" s="2" t="inlineStr">
        <is>
          <t>Paper &amp; Cardboard &gt; Paper/cardboard — mono-material</t>
        </is>
      </c>
      <c r="F28" s="2" t="n">
        <v>1.5</v>
      </c>
      <c r="G28" s="3">
        <f>F28/SUMIF($A$2:$A$118,A28,$F$2:$F$118)</f>
        <v/>
      </c>
      <c r="H28" s="2" t="inlineStr">
        <is>
          <t>Estimate</t>
        </is>
      </c>
      <c r="I28" s="2" t="inlineStr">
        <is>
          <t>Cellulose pad</t>
        </is>
      </c>
    </row>
    <row r="29">
      <c r="A29" s="2" t="inlineStr">
        <is>
          <t>PKG0010</t>
        </is>
      </c>
      <c r="B29" s="2" t="inlineStr">
        <is>
          <t>Tray</t>
        </is>
      </c>
      <c r="C29" s="2" t="inlineStr">
        <is>
          <t>PL.PS.EPS</t>
        </is>
      </c>
      <c r="D29" s="2" t="inlineStr">
        <is>
          <t>EPS (expanded polystyrene)</t>
        </is>
      </c>
      <c r="E29" s="2" t="inlineStr">
        <is>
          <t>Plastics &gt; Rigid plastics &gt; EPS (expanded polystyrene)</t>
        </is>
      </c>
      <c r="F29" s="2" t="n">
        <v>6</v>
      </c>
      <c r="G29" s="3">
        <f>F29/SUMIF($A$2:$A$118,A29,$F$2:$F$118)</f>
        <v/>
      </c>
      <c r="H29" s="2" t="inlineStr">
        <is>
          <t>Estimate</t>
        </is>
      </c>
      <c r="I29" s="2" t="inlineStr">
        <is>
          <t>EPS tray</t>
        </is>
      </c>
    </row>
    <row r="30">
      <c r="A30" s="2" t="inlineStr">
        <is>
          <t>PKG0010</t>
        </is>
      </c>
      <c r="B30" s="2" t="inlineStr">
        <is>
          <t>Overwrap film</t>
        </is>
      </c>
      <c r="C30" s="2" t="inlineStr">
        <is>
          <t>PL.PE.FILM</t>
        </is>
      </c>
      <c r="D30" s="2" t="inlineStr">
        <is>
          <t>PE films</t>
        </is>
      </c>
      <c r="E30" s="2" t="inlineStr">
        <is>
          <t>Plastics &gt; Flexible plastics (films) &gt; PE films</t>
        </is>
      </c>
      <c r="F30" s="2" t="n">
        <v>1.5</v>
      </c>
      <c r="G30" s="3">
        <f>F30/SUMIF($A$2:$A$118,A30,$F$2:$F$118)</f>
        <v/>
      </c>
      <c r="H30" s="2" t="inlineStr">
        <is>
          <t>Estimate</t>
        </is>
      </c>
      <c r="I30" s="2" t="inlineStr">
        <is>
          <t>PVC/PE film mapped to PE film</t>
        </is>
      </c>
    </row>
    <row r="31">
      <c r="A31" s="2" t="inlineStr">
        <is>
          <t>PKG0011</t>
        </is>
      </c>
      <c r="B31" s="2" t="inlineStr">
        <is>
          <t>Bottle body</t>
        </is>
      </c>
      <c r="C31" s="2" t="inlineStr">
        <is>
          <t>GL.BOTTLES_JARS</t>
        </is>
      </c>
      <c r="D31" s="2" t="inlineStr">
        <is>
          <t>Glass bottles, flasks &amp; jars</t>
        </is>
      </c>
      <c r="E31" s="2" t="inlineStr">
        <is>
          <t>Glass &gt; Glass bottles, flasks &amp; jars</t>
        </is>
      </c>
      <c r="F31" s="2" t="n">
        <v>200</v>
      </c>
      <c r="G31" s="3">
        <f>F31/SUMIF($A$2:$A$118,A31,$F$2:$F$118)</f>
        <v/>
      </c>
      <c r="H31" s="2" t="inlineStr">
        <is>
          <t>Spec (Berlin Packaging)</t>
        </is>
      </c>
      <c r="I31" s="2" t="inlineStr">
        <is>
          <t>Bottle weight</t>
        </is>
      </c>
    </row>
    <row r="32">
      <c r="A32" s="2" t="inlineStr">
        <is>
          <t>PKG0011</t>
        </is>
      </c>
      <c r="B32" s="2" t="inlineStr">
        <is>
          <t>Crown cap</t>
        </is>
      </c>
      <c r="C32" s="2" t="inlineStr">
        <is>
          <t>ME.STEEL</t>
        </is>
      </c>
      <c r="D32" s="2" t="inlineStr">
        <is>
          <t>Steel / ferrous metal</t>
        </is>
      </c>
      <c r="E32" s="2" t="inlineStr">
        <is>
          <t>Metals &gt; Steel / ferrous metal</t>
        </is>
      </c>
      <c r="F32" s="2" t="n">
        <v>3</v>
      </c>
      <c r="G32" s="3">
        <f>F32/SUMIF($A$2:$A$118,A32,$F$2:$F$118)</f>
        <v/>
      </c>
      <c r="H32" s="2" t="inlineStr">
        <is>
          <t>Estimate</t>
        </is>
      </c>
      <c r="I32" s="2" t="inlineStr">
        <is>
          <t>Typical crown cap weight</t>
        </is>
      </c>
    </row>
    <row r="33">
      <c r="A33" s="2" t="inlineStr">
        <is>
          <t>PKG0011</t>
        </is>
      </c>
      <c r="B33" s="2" t="inlineStr">
        <is>
          <t>Label</t>
        </is>
      </c>
      <c r="C33" s="2" t="inlineStr">
        <is>
          <t>PA.MONO</t>
        </is>
      </c>
      <c r="D33" s="2" t="inlineStr">
        <is>
          <t>Paper/cardboard — mono-material</t>
        </is>
      </c>
      <c r="E33" s="2" t="inlineStr">
        <is>
          <t>Paper &amp; Cardboard &gt; Paper/cardboard — mono-material</t>
        </is>
      </c>
      <c r="F33" s="2" t="n">
        <v>1.2</v>
      </c>
      <c r="G33" s="3">
        <f>F33/SUMIF($A$2:$A$118,A33,$F$2:$F$118)</f>
        <v/>
      </c>
      <c r="H33" s="2" t="inlineStr">
        <is>
          <t>Estimate</t>
        </is>
      </c>
      <c r="I33" s="2" t="inlineStr">
        <is>
          <t>Paper label</t>
        </is>
      </c>
    </row>
    <row r="34">
      <c r="A34" s="2" t="inlineStr">
        <is>
          <t>PKG0012</t>
        </is>
      </c>
      <c r="B34" s="2" t="inlineStr">
        <is>
          <t>Bottle body</t>
        </is>
      </c>
      <c r="C34" s="2" t="inlineStr">
        <is>
          <t>GL.BOTTLES_JARS</t>
        </is>
      </c>
      <c r="D34" s="2" t="inlineStr">
        <is>
          <t>Glass bottles, flasks &amp; jars</t>
        </is>
      </c>
      <c r="E34" s="2" t="inlineStr">
        <is>
          <t>Glass &gt; Glass bottles, flasks &amp; jars</t>
        </is>
      </c>
      <c r="F34" s="2" t="n">
        <v>195</v>
      </c>
      <c r="G34" s="3">
        <f>F34/SUMIF($A$2:$A$118,A34,$F$2:$F$118)</f>
        <v/>
      </c>
      <c r="H34" s="2" t="inlineStr">
        <is>
          <t>Spec (Visy)</t>
        </is>
      </c>
      <c r="I34" s="2" t="inlineStr">
        <is>
          <t>Bottle weight</t>
        </is>
      </c>
    </row>
    <row r="35">
      <c r="A35" s="2" t="inlineStr">
        <is>
          <t>PKG0012</t>
        </is>
      </c>
      <c r="B35" s="2" t="inlineStr">
        <is>
          <t>Cap</t>
        </is>
      </c>
      <c r="C35" s="2" t="inlineStr">
        <is>
          <t>ME.ALU.THIN</t>
        </is>
      </c>
      <c r="D35" s="2" t="inlineStr">
        <is>
          <t>Aluminium (&lt;50 μm)</t>
        </is>
      </c>
      <c r="E35" s="2" t="inlineStr">
        <is>
          <t>Metals &gt; Aluminium &gt; Aluminium (&lt;50 μm)</t>
        </is>
      </c>
      <c r="F35" s="2" t="n">
        <v>2.5</v>
      </c>
      <c r="G35" s="3">
        <f>F35/SUMIF($A$2:$A$118,A35,$F$2:$F$118)</f>
        <v/>
      </c>
      <c r="H35" s="2" t="inlineStr">
        <is>
          <t>Estimate</t>
        </is>
      </c>
      <c r="I35" s="2" t="inlineStr">
        <is>
          <t>Aluminium ROPP cap typical</t>
        </is>
      </c>
    </row>
    <row r="36">
      <c r="A36" s="2" t="inlineStr">
        <is>
          <t>PKG0012</t>
        </is>
      </c>
      <c r="B36" s="2" t="inlineStr">
        <is>
          <t>Label</t>
        </is>
      </c>
      <c r="C36" s="2" t="inlineStr">
        <is>
          <t>PA.MONO</t>
        </is>
      </c>
      <c r="D36" s="2" t="inlineStr">
        <is>
          <t>Paper/cardboard — mono-material</t>
        </is>
      </c>
      <c r="E36" s="2" t="inlineStr">
        <is>
          <t>Paper &amp; Cardboard &gt; Paper/cardboard — mono-material</t>
        </is>
      </c>
      <c r="F36" s="2" t="n">
        <v>1.2</v>
      </c>
      <c r="G36" s="3">
        <f>F36/SUMIF($A$2:$A$118,A36,$F$2:$F$118)</f>
        <v/>
      </c>
      <c r="H36" s="2" t="inlineStr">
        <is>
          <t>Estimate</t>
        </is>
      </c>
      <c r="I36" s="2" t="inlineStr">
        <is>
          <t>Paper label</t>
        </is>
      </c>
    </row>
    <row r="37">
      <c r="A37" s="2" t="inlineStr">
        <is>
          <t>PKG0013</t>
        </is>
      </c>
      <c r="B37" s="2" t="inlineStr">
        <is>
          <t>Bottle body</t>
        </is>
      </c>
      <c r="C37" s="2" t="inlineStr">
        <is>
          <t>GL.BOTTLES_JARS</t>
        </is>
      </c>
      <c r="D37" s="2" t="inlineStr">
        <is>
          <t>Glass bottles, flasks &amp; jars</t>
        </is>
      </c>
      <c r="E37" s="2" t="inlineStr">
        <is>
          <t>Glass &gt; Glass bottles, flasks &amp; jars</t>
        </is>
      </c>
      <c r="F37" s="2" t="n">
        <v>500</v>
      </c>
      <c r="G37" s="3">
        <f>F37/SUMIF($A$2:$A$118,A37,$F$2:$F$118)</f>
        <v/>
      </c>
      <c r="H37" s="2" t="inlineStr">
        <is>
          <t>Estimate</t>
        </is>
      </c>
      <c r="I37" s="2" t="inlineStr">
        <is>
          <t>Typical 750 mL wine bottle</t>
        </is>
      </c>
    </row>
    <row r="38">
      <c r="A38" s="2" t="inlineStr">
        <is>
          <t>PKG0013</t>
        </is>
      </c>
      <c r="B38" s="2" t="inlineStr">
        <is>
          <t>Cork</t>
        </is>
      </c>
      <c r="C38" s="2" t="inlineStr">
        <is>
          <t>OT.CORK</t>
        </is>
      </c>
      <c r="D38" s="2" t="inlineStr">
        <is>
          <t>Cork</t>
        </is>
      </c>
      <c r="E38" s="2" t="inlineStr">
        <is>
          <t>Other &gt; Cork</t>
        </is>
      </c>
      <c r="F38" s="2" t="n">
        <v>4</v>
      </c>
      <c r="G38" s="3">
        <f>F38/SUMIF($A$2:$A$118,A38,$F$2:$F$118)</f>
        <v/>
      </c>
      <c r="H38" s="2" t="inlineStr">
        <is>
          <t>Estimate</t>
        </is>
      </c>
      <c r="I38" s="2" t="inlineStr">
        <is>
          <t>Natural cork</t>
        </is>
      </c>
    </row>
    <row r="39">
      <c r="A39" s="2" t="inlineStr">
        <is>
          <t>PKG0013</t>
        </is>
      </c>
      <c r="B39" s="2" t="inlineStr">
        <is>
          <t>Capsule</t>
        </is>
      </c>
      <c r="C39" s="2" t="inlineStr">
        <is>
          <t>ME.ALU.THIN</t>
        </is>
      </c>
      <c r="D39" s="2" t="inlineStr">
        <is>
          <t>Aluminium (&lt;50 μm)</t>
        </is>
      </c>
      <c r="E39" s="2" t="inlineStr">
        <is>
          <t>Metals &gt; Aluminium &gt; Aluminium (&lt;50 μm)</t>
        </is>
      </c>
      <c r="F39" s="2" t="n">
        <v>1.5</v>
      </c>
      <c r="G39" s="3">
        <f>F39/SUMIF($A$2:$A$118,A39,$F$2:$F$118)</f>
        <v/>
      </c>
      <c r="H39" s="2" t="inlineStr">
        <is>
          <t>Estimate</t>
        </is>
      </c>
      <c r="I39" s="2" t="inlineStr">
        <is>
          <t>Aluminium capsule</t>
        </is>
      </c>
    </row>
    <row r="40">
      <c r="A40" s="2" t="inlineStr">
        <is>
          <t>PKG0013</t>
        </is>
      </c>
      <c r="B40" s="2" t="inlineStr">
        <is>
          <t>Label</t>
        </is>
      </c>
      <c r="C40" s="2" t="inlineStr">
        <is>
          <t>PA.MONO</t>
        </is>
      </c>
      <c r="D40" s="2" t="inlineStr">
        <is>
          <t>Paper/cardboard — mono-material</t>
        </is>
      </c>
      <c r="E40" s="2" t="inlineStr">
        <is>
          <t>Paper &amp; Cardboard &gt; Paper/cardboard — mono-material</t>
        </is>
      </c>
      <c r="F40" s="2" t="n">
        <v>1.5</v>
      </c>
      <c r="G40" s="3">
        <f>F40/SUMIF($A$2:$A$118,A40,$F$2:$F$118)</f>
        <v/>
      </c>
      <c r="H40" s="2" t="inlineStr">
        <is>
          <t>Estimate</t>
        </is>
      </c>
      <c r="I40" s="2" t="inlineStr">
        <is>
          <t>Paper label</t>
        </is>
      </c>
    </row>
    <row r="41">
      <c r="A41" s="2" t="inlineStr">
        <is>
          <t>PKG0014</t>
        </is>
      </c>
      <c r="B41" s="2" t="inlineStr">
        <is>
          <t>Jar body</t>
        </is>
      </c>
      <c r="C41" s="2" t="inlineStr">
        <is>
          <t>GL.BOTTLES_JARS</t>
        </is>
      </c>
      <c r="D41" s="2" t="inlineStr">
        <is>
          <t>Glass bottles, flasks &amp; jars</t>
        </is>
      </c>
      <c r="E41" s="2" t="inlineStr">
        <is>
          <t>Glass &gt; Glass bottles, flasks &amp; jars</t>
        </is>
      </c>
      <c r="F41" s="2" t="n">
        <v>195</v>
      </c>
      <c r="G41" s="3">
        <f>F41/SUMIF($A$2:$A$118,A41,$F$2:$F$118)</f>
        <v/>
      </c>
      <c r="H41" s="2" t="inlineStr">
        <is>
          <t>Spec (Berlin Packaging)</t>
        </is>
      </c>
      <c r="I41" s="2" t="inlineStr">
        <is>
          <t>Jar weight</t>
        </is>
      </c>
    </row>
    <row r="42">
      <c r="A42" s="2" t="inlineStr">
        <is>
          <t>PKG0014</t>
        </is>
      </c>
      <c r="B42" s="2" t="inlineStr">
        <is>
          <t>Twist-off lid</t>
        </is>
      </c>
      <c r="C42" s="2" t="inlineStr">
        <is>
          <t>ME.STEEL</t>
        </is>
      </c>
      <c r="D42" s="2" t="inlineStr">
        <is>
          <t>Steel / ferrous metal</t>
        </is>
      </c>
      <c r="E42" s="2" t="inlineStr">
        <is>
          <t>Metals &gt; Steel / ferrous metal</t>
        </is>
      </c>
      <c r="F42" s="2" t="n">
        <v>10</v>
      </c>
      <c r="G42" s="3">
        <f>F42/SUMIF($A$2:$A$118,A42,$F$2:$F$118)</f>
        <v/>
      </c>
      <c r="H42" s="2" t="inlineStr">
        <is>
          <t>Estimate</t>
        </is>
      </c>
      <c r="I42" s="2" t="inlineStr">
        <is>
          <t>Typical TO 63 lid</t>
        </is>
      </c>
    </row>
    <row r="43">
      <c r="A43" s="2" t="inlineStr">
        <is>
          <t>PKG0014</t>
        </is>
      </c>
      <c r="B43" s="2" t="inlineStr">
        <is>
          <t>Label</t>
        </is>
      </c>
      <c r="C43" s="2" t="inlineStr">
        <is>
          <t>PA.MONO</t>
        </is>
      </c>
      <c r="D43" s="2" t="inlineStr">
        <is>
          <t>Paper/cardboard — mono-material</t>
        </is>
      </c>
      <c r="E43" s="2" t="inlineStr">
        <is>
          <t>Paper &amp; Cardboard &gt; Paper/cardboard — mono-material</t>
        </is>
      </c>
      <c r="F43" s="2" t="n">
        <v>1</v>
      </c>
      <c r="G43" s="3">
        <f>F43/SUMIF($A$2:$A$118,A43,$F$2:$F$118)</f>
        <v/>
      </c>
      <c r="H43" s="2" t="inlineStr">
        <is>
          <t>Estimate</t>
        </is>
      </c>
      <c r="I43" s="2" t="inlineStr">
        <is>
          <t>Paper label</t>
        </is>
      </c>
    </row>
    <row r="44">
      <c r="A44" s="2" t="inlineStr">
        <is>
          <t>PKG0015</t>
        </is>
      </c>
      <c r="B44" s="2" t="inlineStr">
        <is>
          <t>Jar body</t>
        </is>
      </c>
      <c r="C44" s="2" t="inlineStr">
        <is>
          <t>GL.BOTTLES_JARS</t>
        </is>
      </c>
      <c r="D44" s="2" t="inlineStr">
        <is>
          <t>Glass bottles, flasks &amp; jars</t>
        </is>
      </c>
      <c r="E44" s="2" t="inlineStr">
        <is>
          <t>Glass &gt; Glass bottles, flasks &amp; jars</t>
        </is>
      </c>
      <c r="F44" s="2" t="n">
        <v>320</v>
      </c>
      <c r="G44" s="3">
        <f>F44/SUMIF($A$2:$A$118,A44,$F$2:$F$118)</f>
        <v/>
      </c>
      <c r="H44" s="2" t="inlineStr">
        <is>
          <t>Estimate</t>
        </is>
      </c>
      <c r="I44" s="2" t="inlineStr">
        <is>
          <t>Typical 720 mL jar</t>
        </is>
      </c>
    </row>
    <row r="45">
      <c r="A45" s="2" t="inlineStr">
        <is>
          <t>PKG0015</t>
        </is>
      </c>
      <c r="B45" s="2" t="inlineStr">
        <is>
          <t>Twist-off lid</t>
        </is>
      </c>
      <c r="C45" s="2" t="inlineStr">
        <is>
          <t>ME.STEEL</t>
        </is>
      </c>
      <c r="D45" s="2" t="inlineStr">
        <is>
          <t>Steel / ferrous metal</t>
        </is>
      </c>
      <c r="E45" s="2" t="inlineStr">
        <is>
          <t>Metals &gt; Steel / ferrous metal</t>
        </is>
      </c>
      <c r="F45" s="2" t="n">
        <v>14</v>
      </c>
      <c r="G45" s="3">
        <f>F45/SUMIF($A$2:$A$118,A45,$F$2:$F$118)</f>
        <v/>
      </c>
      <c r="H45" s="2" t="inlineStr">
        <is>
          <t>Estimate</t>
        </is>
      </c>
      <c r="I45" s="2" t="inlineStr">
        <is>
          <t>Typical TO 82 lid</t>
        </is>
      </c>
    </row>
    <row r="46">
      <c r="A46" s="2" t="inlineStr">
        <is>
          <t>PKG0015</t>
        </is>
      </c>
      <c r="B46" s="2" t="inlineStr">
        <is>
          <t>Label</t>
        </is>
      </c>
      <c r="C46" s="2" t="inlineStr">
        <is>
          <t>PA.MONO</t>
        </is>
      </c>
      <c r="D46" s="2" t="inlineStr">
        <is>
          <t>Paper/cardboard — mono-material</t>
        </is>
      </c>
      <c r="E46" s="2" t="inlineStr">
        <is>
          <t>Paper &amp; Cardboard &gt; Paper/cardboard — mono-material</t>
        </is>
      </c>
      <c r="F46" s="2" t="n">
        <v>1.2</v>
      </c>
      <c r="G46" s="3">
        <f>F46/SUMIF($A$2:$A$118,A46,$F$2:$F$118)</f>
        <v/>
      </c>
      <c r="H46" s="2" t="inlineStr">
        <is>
          <t>Estimate</t>
        </is>
      </c>
      <c r="I46" s="2" t="inlineStr">
        <is>
          <t>Paper label</t>
        </is>
      </c>
    </row>
    <row r="47">
      <c r="A47" s="2" t="inlineStr">
        <is>
          <t>PKG0016</t>
        </is>
      </c>
      <c r="B47" s="2" t="inlineStr">
        <is>
          <t>Can (body+end)</t>
        </is>
      </c>
      <c r="C47" s="2" t="inlineStr">
        <is>
          <t>ME.ALU.THICK</t>
        </is>
      </c>
      <c r="D47" s="2" t="inlineStr">
        <is>
          <t>Aluminium (≥50 μm)</t>
        </is>
      </c>
      <c r="E47" s="2" t="inlineStr">
        <is>
          <t>Metals &gt; Aluminium &gt; Aluminium (≥50 μm)</t>
        </is>
      </c>
      <c r="F47" s="2" t="n">
        <v>12.99</v>
      </c>
      <c r="G47" s="3">
        <f>F47/SUMIF($A$2:$A$118,A47,$F$2:$F$118)</f>
        <v/>
      </c>
      <c r="H47" s="2" t="inlineStr">
        <is>
          <t>Spec (industry average)</t>
        </is>
      </c>
      <c r="I47" s="2" t="inlineStr">
        <is>
          <t>Average metallic weight per can</t>
        </is>
      </c>
    </row>
    <row r="48">
      <c r="A48" s="2" t="inlineStr">
        <is>
          <t>PKG0016</t>
        </is>
      </c>
      <c r="B48" s="2" t="inlineStr">
        <is>
          <t>Inks/coatings</t>
        </is>
      </c>
      <c r="C48" s="2" t="inlineStr">
        <is>
          <t>OT.OTHER_PACK</t>
        </is>
      </c>
      <c r="D48" s="2" t="inlineStr">
        <is>
          <t>Packaging of other materials</t>
        </is>
      </c>
      <c r="E48" s="2" t="inlineStr">
        <is>
          <t>Other &gt; Packaging of other materials</t>
        </is>
      </c>
      <c r="F48" s="2" t="n">
        <v>0.2</v>
      </c>
      <c r="G48" s="3">
        <f>F48/SUMIF($A$2:$A$118,A48,$F$2:$F$118)</f>
        <v/>
      </c>
      <c r="H48" s="2" t="inlineStr">
        <is>
          <t>Estimate</t>
        </is>
      </c>
      <c r="I48" s="2" t="inlineStr">
        <is>
          <t>Printing/coatings</t>
        </is>
      </c>
    </row>
    <row r="49">
      <c r="A49" s="2" t="inlineStr">
        <is>
          <t>PKG0017</t>
        </is>
      </c>
      <c r="B49" s="2" t="inlineStr">
        <is>
          <t>Can (body+end)</t>
        </is>
      </c>
      <c r="C49" s="2" t="inlineStr">
        <is>
          <t>ME.ALU.THICK</t>
        </is>
      </c>
      <c r="D49" s="2" t="inlineStr">
        <is>
          <t>Aluminium (≥50 μm)</t>
        </is>
      </c>
      <c r="E49" s="2" t="inlineStr">
        <is>
          <t>Metals &gt; Aluminium &gt; Aluminium (≥50 μm)</t>
        </is>
      </c>
      <c r="F49" s="2" t="n">
        <v>16</v>
      </c>
      <c r="G49" s="3">
        <f>F49/SUMIF($A$2:$A$118,A49,$F$2:$F$118)</f>
        <v/>
      </c>
      <c r="H49" s="2" t="inlineStr">
        <is>
          <t>Estimate</t>
        </is>
      </c>
      <c r="I49" s="2" t="inlineStr">
        <is>
          <t>Typical 500 mL can</t>
        </is>
      </c>
    </row>
    <row r="50">
      <c r="A50" s="2" t="inlineStr">
        <is>
          <t>PKG0017</t>
        </is>
      </c>
      <c r="B50" s="2" t="inlineStr">
        <is>
          <t>Inks/coatings</t>
        </is>
      </c>
      <c r="C50" s="2" t="inlineStr">
        <is>
          <t>OT.OTHER_PACK</t>
        </is>
      </c>
      <c r="D50" s="2" t="inlineStr">
        <is>
          <t>Packaging of other materials</t>
        </is>
      </c>
      <c r="E50" s="2" t="inlineStr">
        <is>
          <t>Other &gt; Packaging of other materials</t>
        </is>
      </c>
      <c r="F50" s="2" t="n">
        <v>0.25</v>
      </c>
      <c r="G50" s="3">
        <f>F50/SUMIF($A$2:$A$118,A50,$F$2:$F$118)</f>
        <v/>
      </c>
      <c r="H50" s="2" t="inlineStr">
        <is>
          <t>Estimate</t>
        </is>
      </c>
      <c r="I50" s="2" t="inlineStr">
        <is>
          <t>Printing/coatings</t>
        </is>
      </c>
    </row>
    <row r="51">
      <c r="A51" s="2" t="inlineStr">
        <is>
          <t>PKG0018</t>
        </is>
      </c>
      <c r="B51" s="2" t="inlineStr">
        <is>
          <t>Can body+end</t>
        </is>
      </c>
      <c r="C51" s="2" t="inlineStr">
        <is>
          <t>ME.STEEL</t>
        </is>
      </c>
      <c r="D51" s="2" t="inlineStr">
        <is>
          <t>Steel / ferrous metal</t>
        </is>
      </c>
      <c r="E51" s="2" t="inlineStr">
        <is>
          <t>Metals &gt; Steel / ferrous metal</t>
        </is>
      </c>
      <c r="F51" s="2" t="n">
        <v>45</v>
      </c>
      <c r="G51" s="3">
        <f>F51/SUMIF($A$2:$A$118,A51,$F$2:$F$118)</f>
        <v/>
      </c>
      <c r="H51" s="2" t="inlineStr">
        <is>
          <t>Estimate</t>
        </is>
      </c>
      <c r="I51" s="2" t="inlineStr">
        <is>
          <t>Typical tinplate can</t>
        </is>
      </c>
    </row>
    <row r="52">
      <c r="A52" s="2" t="inlineStr">
        <is>
          <t>PKG0018</t>
        </is>
      </c>
      <c r="B52" s="2" t="inlineStr">
        <is>
          <t>Label</t>
        </is>
      </c>
      <c r="C52" s="2" t="inlineStr">
        <is>
          <t>PA.MONO</t>
        </is>
      </c>
      <c r="D52" s="2" t="inlineStr">
        <is>
          <t>Paper/cardboard — mono-material</t>
        </is>
      </c>
      <c r="E52" s="2" t="inlineStr">
        <is>
          <t>Paper &amp; Cardboard &gt; Paper/cardboard — mono-material</t>
        </is>
      </c>
      <c r="F52" s="2" t="n">
        <v>1</v>
      </c>
      <c r="G52" s="3">
        <f>F52/SUMIF($A$2:$A$118,A52,$F$2:$F$118)</f>
        <v/>
      </c>
      <c r="H52" s="2" t="inlineStr">
        <is>
          <t>Estimate</t>
        </is>
      </c>
      <c r="I52" s="2" t="inlineStr">
        <is>
          <t>Paper label</t>
        </is>
      </c>
    </row>
    <row r="53">
      <c r="A53" s="2" t="inlineStr">
        <is>
          <t>PKG0019</t>
        </is>
      </c>
      <c r="B53" s="2" t="inlineStr">
        <is>
          <t>Can body+end</t>
        </is>
      </c>
      <c r="C53" s="2" t="inlineStr">
        <is>
          <t>ME.STEEL</t>
        </is>
      </c>
      <c r="D53" s="2" t="inlineStr">
        <is>
          <t>Steel / ferrous metal</t>
        </is>
      </c>
      <c r="E53" s="2" t="inlineStr">
        <is>
          <t>Metals &gt; Steel / ferrous metal</t>
        </is>
      </c>
      <c r="F53" s="2" t="n">
        <v>65</v>
      </c>
      <c r="G53" s="3">
        <f>F53/SUMIF($A$2:$A$118,A53,$F$2:$F$118)</f>
        <v/>
      </c>
      <c r="H53" s="2" t="inlineStr">
        <is>
          <t>Estimate</t>
        </is>
      </c>
      <c r="I53" s="2" t="inlineStr">
        <is>
          <t>Typical large tinplate can</t>
        </is>
      </c>
    </row>
    <row r="54">
      <c r="A54" s="2" t="inlineStr">
        <is>
          <t>PKG0019</t>
        </is>
      </c>
      <c r="B54" s="2" t="inlineStr">
        <is>
          <t>Label</t>
        </is>
      </c>
      <c r="C54" s="2" t="inlineStr">
        <is>
          <t>PA.MONO</t>
        </is>
      </c>
      <c r="D54" s="2" t="inlineStr">
        <is>
          <t>Paper/cardboard — mono-material</t>
        </is>
      </c>
      <c r="E54" s="2" t="inlineStr">
        <is>
          <t>Paper &amp; Cardboard &gt; Paper/cardboard — mono-material</t>
        </is>
      </c>
      <c r="F54" s="2" t="n">
        <v>1.2</v>
      </c>
      <c r="G54" s="3">
        <f>F54/SUMIF($A$2:$A$118,A54,$F$2:$F$118)</f>
        <v/>
      </c>
      <c r="H54" s="2" t="inlineStr">
        <is>
          <t>Estimate</t>
        </is>
      </c>
      <c r="I54" s="2" t="inlineStr">
        <is>
          <t>Paper label</t>
        </is>
      </c>
    </row>
    <row r="55">
      <c r="A55" s="2" t="inlineStr">
        <is>
          <t>PKG0020</t>
        </is>
      </c>
      <c r="B55" s="2" t="inlineStr">
        <is>
          <t>Paperboard layer</t>
        </is>
      </c>
      <c r="C55" s="2" t="inlineStr">
        <is>
          <t>PA.MONO</t>
        </is>
      </c>
      <c r="D55" s="2" t="inlineStr">
        <is>
          <t>Paper/cardboard — mono-material</t>
        </is>
      </c>
      <c r="E55" s="2" t="inlineStr">
        <is>
          <t>Paper &amp; Cardboard &gt; Paper/cardboard — mono-material</t>
        </is>
      </c>
      <c r="F55" s="2" t="n">
        <v>24.5</v>
      </c>
      <c r="G55" s="3">
        <f>F55/SUMIF($A$2:$A$118,A55,$F$2:$F$118)</f>
        <v/>
      </c>
      <c r="H55" s="2" t="inlineStr">
        <is>
          <t>Estimate (from composition)</t>
        </is>
      </c>
      <c r="I55" s="2" t="inlineStr">
        <is>
          <t>70% of 35 g</t>
        </is>
      </c>
    </row>
    <row r="56">
      <c r="A56" s="2" t="inlineStr">
        <is>
          <t>PKG0020</t>
        </is>
      </c>
      <c r="B56" s="2" t="inlineStr">
        <is>
          <t>PE layers</t>
        </is>
      </c>
      <c r="C56" s="2" t="inlineStr">
        <is>
          <t>PL.PE.FILM</t>
        </is>
      </c>
      <c r="D56" s="2" t="inlineStr">
        <is>
          <t>PE films</t>
        </is>
      </c>
      <c r="E56" s="2" t="inlineStr">
        <is>
          <t>Plastics &gt; Flexible plastics (films) &gt; PE films</t>
        </is>
      </c>
      <c r="F56" s="2" t="n">
        <v>9.1</v>
      </c>
      <c r="G56" s="3">
        <f>F56/SUMIF($A$2:$A$118,A56,$F$2:$F$118)</f>
        <v/>
      </c>
      <c r="H56" s="2" t="inlineStr">
        <is>
          <t>Estimate (from composition)</t>
        </is>
      </c>
      <c r="I56" s="2" t="inlineStr">
        <is>
          <t>26% of 35 g</t>
        </is>
      </c>
    </row>
    <row r="57">
      <c r="A57" s="2" t="inlineStr">
        <is>
          <t>PKG0020</t>
        </is>
      </c>
      <c r="B57" s="2" t="inlineStr">
        <is>
          <t>Aluminium barrier</t>
        </is>
      </c>
      <c r="C57" s="2" t="inlineStr">
        <is>
          <t>ME.ALU.THIN</t>
        </is>
      </c>
      <c r="D57" s="2" t="inlineStr">
        <is>
          <t>Aluminium (&lt;50 μm)</t>
        </is>
      </c>
      <c r="E57" s="2" t="inlineStr">
        <is>
          <t>Metals &gt; Aluminium &gt; Aluminium (&lt;50 μm)</t>
        </is>
      </c>
      <c r="F57" s="2" t="n">
        <v>1.4</v>
      </c>
      <c r="G57" s="3">
        <f>F57/SUMIF($A$2:$A$118,A57,$F$2:$F$118)</f>
        <v/>
      </c>
      <c r="H57" s="2" t="inlineStr">
        <is>
          <t>Estimate (from composition)</t>
        </is>
      </c>
      <c r="I57" s="2" t="inlineStr">
        <is>
          <t>4% of 35 g</t>
        </is>
      </c>
    </row>
    <row r="58">
      <c r="A58" s="2" t="inlineStr">
        <is>
          <t>PKG0020</t>
        </is>
      </c>
      <c r="B58" s="2" t="inlineStr">
        <is>
          <t>Cap</t>
        </is>
      </c>
      <c r="C58" s="2" t="inlineStr">
        <is>
          <t>PL.PE.RIGID</t>
        </is>
      </c>
      <c r="D58" s="2" t="inlineStr">
        <is>
          <t>PE rigid (bottles, caps, trays etc.)</t>
        </is>
      </c>
      <c r="E58" s="2" t="inlineStr">
        <is>
          <t>Plastics &gt; Rigid plastics &gt; PE rigid (bottles, caps, trays etc.)</t>
        </is>
      </c>
      <c r="F58" s="2" t="n">
        <v>1.5</v>
      </c>
      <c r="G58" s="3">
        <f>F58/SUMIF($A$2:$A$118,A58,$F$2:$F$118)</f>
        <v/>
      </c>
      <c r="H58" s="2" t="inlineStr">
        <is>
          <t>Spec (benchmark)</t>
        </is>
      </c>
      <c r="I58" s="2" t="inlineStr">
        <is>
          <t>Typical cap mass for 1L paper carton</t>
        </is>
      </c>
    </row>
    <row r="59">
      <c r="A59" s="2" t="inlineStr">
        <is>
          <t>PKG0021</t>
        </is>
      </c>
      <c r="B59" s="2" t="inlineStr">
        <is>
          <t>Pouch film (laminate)</t>
        </is>
      </c>
      <c r="C59" s="2" t="inlineStr">
        <is>
          <t>PL.FLEX</t>
        </is>
      </c>
      <c r="D59" s="2" t="inlineStr">
        <is>
          <t>Flexible plastics (films)</t>
        </is>
      </c>
      <c r="E59" s="2" t="inlineStr">
        <is>
          <t>Plastics &gt; Flexible plastics (films)</t>
        </is>
      </c>
      <c r="F59" s="2" t="n">
        <v>9</v>
      </c>
      <c r="G59" s="3">
        <f>F59/SUMIF($A$2:$A$118,A59,$F$2:$F$118)</f>
        <v/>
      </c>
      <c r="H59" s="2" t="inlineStr">
        <is>
          <t>Estimate</t>
        </is>
      </c>
      <c r="I59" s="2" t="inlineStr">
        <is>
          <t>Typical 250g pouch</t>
        </is>
      </c>
    </row>
    <row r="60">
      <c r="A60" s="2" t="inlineStr">
        <is>
          <t>PKG0021</t>
        </is>
      </c>
      <c r="B60" s="2" t="inlineStr">
        <is>
          <t>Zipper</t>
        </is>
      </c>
      <c r="C60" s="2" t="inlineStr">
        <is>
          <t>PL.PP.RIGID</t>
        </is>
      </c>
      <c r="D60" s="2" t="inlineStr">
        <is>
          <t>PP rigid (bottles, caps etc.)</t>
        </is>
      </c>
      <c r="E60" s="2" t="inlineStr">
        <is>
          <t>Plastics &gt; Rigid plastics &gt; PP rigid (bottles, caps etc.)</t>
        </is>
      </c>
      <c r="F60" s="2" t="n">
        <v>1</v>
      </c>
      <c r="G60" s="3">
        <f>F60/SUMIF($A$2:$A$118,A60,$F$2:$F$118)</f>
        <v/>
      </c>
      <c r="H60" s="2" t="inlineStr">
        <is>
          <t>Estimate</t>
        </is>
      </c>
      <c r="I60" s="2" t="inlineStr">
        <is>
          <t>Zipper profile</t>
        </is>
      </c>
    </row>
    <row r="61">
      <c r="A61" s="2" t="inlineStr">
        <is>
          <t>PKG0022</t>
        </is>
      </c>
      <c r="B61" s="2" t="inlineStr">
        <is>
          <t>Pouch film (laminate)</t>
        </is>
      </c>
      <c r="C61" s="2" t="inlineStr">
        <is>
          <t>PL.FLEX</t>
        </is>
      </c>
      <c r="D61" s="2" t="inlineStr">
        <is>
          <t>Flexible plastics (films)</t>
        </is>
      </c>
      <c r="E61" s="2" t="inlineStr">
        <is>
          <t>Plastics &gt; Flexible plastics (films)</t>
        </is>
      </c>
      <c r="F61" s="2" t="n">
        <v>15</v>
      </c>
      <c r="G61" s="3">
        <f>F61/SUMIF($A$2:$A$118,A61,$F$2:$F$118)</f>
        <v/>
      </c>
      <c r="H61" s="2" t="inlineStr">
        <is>
          <t>Estimate</t>
        </is>
      </c>
      <c r="I61" s="2" t="inlineStr">
        <is>
          <t>Typical 500g pouch</t>
        </is>
      </c>
    </row>
    <row r="62">
      <c r="A62" s="2" t="inlineStr">
        <is>
          <t>PKG0022</t>
        </is>
      </c>
      <c r="B62" s="2" t="inlineStr">
        <is>
          <t>Zipper</t>
        </is>
      </c>
      <c r="C62" s="2" t="inlineStr">
        <is>
          <t>PL.PP.RIGID</t>
        </is>
      </c>
      <c r="D62" s="2" t="inlineStr">
        <is>
          <t>PP rigid (bottles, caps etc.)</t>
        </is>
      </c>
      <c r="E62" s="2" t="inlineStr">
        <is>
          <t>Plastics &gt; Rigid plastics &gt; PP rigid (bottles, caps etc.)</t>
        </is>
      </c>
      <c r="F62" s="2" t="n">
        <v>1.3</v>
      </c>
      <c r="G62" s="3">
        <f>F62/SUMIF($A$2:$A$118,A62,$F$2:$F$118)</f>
        <v/>
      </c>
      <c r="H62" s="2" t="inlineStr">
        <is>
          <t>Estimate</t>
        </is>
      </c>
      <c r="I62" s="2" t="inlineStr">
        <is>
          <t>Zipper profile</t>
        </is>
      </c>
    </row>
    <row r="63">
      <c r="A63" s="2" t="inlineStr">
        <is>
          <t>PKG0023</t>
        </is>
      </c>
      <c r="B63" s="2" t="inlineStr">
        <is>
          <t>Film</t>
        </is>
      </c>
      <c r="C63" s="2" t="inlineStr">
        <is>
          <t>PL.FLEX</t>
        </is>
      </c>
      <c r="D63" s="2" t="inlineStr">
        <is>
          <t>Flexible plastics (films)</t>
        </is>
      </c>
      <c r="E63" s="2" t="inlineStr">
        <is>
          <t>Plastics &gt; Flexible plastics (films)</t>
        </is>
      </c>
      <c r="F63" s="2" t="n">
        <v>1.2</v>
      </c>
      <c r="G63" s="3">
        <f>F63/SUMIF($A$2:$A$118,A63,$F$2:$F$118)</f>
        <v/>
      </c>
      <c r="H63" s="2" t="inlineStr">
        <is>
          <t>Estimate</t>
        </is>
      </c>
      <c r="I63" s="2" t="inlineStr">
        <is>
          <t>Typical sachet film</t>
        </is>
      </c>
    </row>
    <row r="64">
      <c r="A64" s="2" t="inlineStr">
        <is>
          <t>PKG0024</t>
        </is>
      </c>
      <c r="B64" s="2" t="inlineStr">
        <is>
          <t>Paper sack</t>
        </is>
      </c>
      <c r="C64" s="2" t="inlineStr">
        <is>
          <t>PA.MONO</t>
        </is>
      </c>
      <c r="D64" s="2" t="inlineStr">
        <is>
          <t>Paper/cardboard — mono-material</t>
        </is>
      </c>
      <c r="E64" s="2" t="inlineStr">
        <is>
          <t>Paper &amp; Cardboard &gt; Paper/cardboard — mono-material</t>
        </is>
      </c>
      <c r="F64" s="2" t="n">
        <v>60</v>
      </c>
      <c r="G64" s="3">
        <f>F64/SUMIF($A$2:$A$118,A64,$F$2:$F$118)</f>
        <v/>
      </c>
      <c r="H64" s="2" t="inlineStr">
        <is>
          <t>Estimate</t>
        </is>
      </c>
      <c r="I64" s="2" t="inlineStr">
        <is>
          <t>Typical 1kg paper sack</t>
        </is>
      </c>
    </row>
    <row r="65">
      <c r="A65" s="2" t="inlineStr">
        <is>
          <t>PKG0024</t>
        </is>
      </c>
      <c r="B65" s="2" t="inlineStr">
        <is>
          <t>Inks/adhesive</t>
        </is>
      </c>
      <c r="C65" s="2" t="inlineStr">
        <is>
          <t>OT.OTHER_PACK</t>
        </is>
      </c>
      <c r="D65" s="2" t="inlineStr">
        <is>
          <t>Packaging of other materials</t>
        </is>
      </c>
      <c r="E65" s="2" t="inlineStr">
        <is>
          <t>Other &gt; Packaging of other materials</t>
        </is>
      </c>
      <c r="F65" s="2" t="n">
        <v>1</v>
      </c>
      <c r="G65" s="3">
        <f>F65/SUMIF($A$2:$A$118,A65,$F$2:$F$118)</f>
        <v/>
      </c>
      <c r="H65" s="2" t="inlineStr">
        <is>
          <t>Estimate</t>
        </is>
      </c>
      <c r="I65" s="2" t="inlineStr">
        <is>
          <t>Printing/adhesive</t>
        </is>
      </c>
    </row>
    <row r="66">
      <c r="A66" s="2" t="inlineStr">
        <is>
          <t>PKG0025</t>
        </is>
      </c>
      <c r="B66" s="2" t="inlineStr">
        <is>
          <t>Carton</t>
        </is>
      </c>
      <c r="C66" s="2" t="inlineStr">
        <is>
          <t>PA.MONO</t>
        </is>
      </c>
      <c r="D66" s="2" t="inlineStr">
        <is>
          <t>Paper/cardboard — mono-material</t>
        </is>
      </c>
      <c r="E66" s="2" t="inlineStr">
        <is>
          <t>Paper &amp; Cardboard &gt; Paper/cardboard — mono-material</t>
        </is>
      </c>
      <c r="F66" s="2" t="n">
        <v>35</v>
      </c>
      <c r="G66" s="3">
        <f>F66/SUMIF($A$2:$A$118,A66,$F$2:$F$118)</f>
        <v/>
      </c>
      <c r="H66" s="2" t="inlineStr">
        <is>
          <t>Estimate</t>
        </is>
      </c>
      <c r="I66" s="2" t="inlineStr">
        <is>
          <t>Paperboard carton</t>
        </is>
      </c>
    </row>
    <row r="67">
      <c r="A67" s="2" t="inlineStr">
        <is>
          <t>PKG0025</t>
        </is>
      </c>
      <c r="B67" s="2" t="inlineStr">
        <is>
          <t>Inner bag</t>
        </is>
      </c>
      <c r="C67" s="2" t="inlineStr">
        <is>
          <t>PL.PE.FILM</t>
        </is>
      </c>
      <c r="D67" s="2" t="inlineStr">
        <is>
          <t>PE films</t>
        </is>
      </c>
      <c r="E67" s="2" t="inlineStr">
        <is>
          <t>Plastics &gt; Flexible plastics (films) &gt; PE films</t>
        </is>
      </c>
      <c r="F67" s="2" t="n">
        <v>6</v>
      </c>
      <c r="G67" s="3">
        <f>F67/SUMIF($A$2:$A$118,A67,$F$2:$F$118)</f>
        <v/>
      </c>
      <c r="H67" s="2" t="inlineStr">
        <is>
          <t>Estimate</t>
        </is>
      </c>
      <c r="I67" s="2" t="inlineStr">
        <is>
          <t>PE inner bag</t>
        </is>
      </c>
    </row>
    <row r="68">
      <c r="A68" s="2" t="inlineStr">
        <is>
          <t>PKG0025</t>
        </is>
      </c>
      <c r="B68" s="2" t="inlineStr">
        <is>
          <t>Inks/adhesive</t>
        </is>
      </c>
      <c r="C68" s="2" t="inlineStr">
        <is>
          <t>OT.OTHER_PACK</t>
        </is>
      </c>
      <c r="D68" s="2" t="inlineStr">
        <is>
          <t>Packaging of other materials</t>
        </is>
      </c>
      <c r="E68" s="2" t="inlineStr">
        <is>
          <t>Other &gt; Packaging of other materials</t>
        </is>
      </c>
      <c r="F68" s="2" t="n">
        <v>1.5</v>
      </c>
      <c r="G68" s="3">
        <f>F68/SUMIF($A$2:$A$118,A68,$F$2:$F$118)</f>
        <v/>
      </c>
      <c r="H68" s="2" t="inlineStr">
        <is>
          <t>Estimate</t>
        </is>
      </c>
      <c r="I68" s="2" t="inlineStr">
        <is>
          <t>Printing/adhesive</t>
        </is>
      </c>
    </row>
    <row r="69">
      <c r="A69" s="2" t="inlineStr">
        <is>
          <t>PKG0026</t>
        </is>
      </c>
      <c r="B69" s="2" t="inlineStr">
        <is>
          <t>Clamshell</t>
        </is>
      </c>
      <c r="C69" s="2" t="inlineStr">
        <is>
          <t>PL.PET.THERMO.MONO.TR</t>
        </is>
      </c>
      <c r="D69" s="2" t="inlineStr">
        <is>
          <t>PET thermoformed — mono transparent (APET)</t>
        </is>
      </c>
      <c r="E69" s="2" t="inlineStr">
        <is>
          <t>Plastics &gt; Rigid plastics &gt; PET (polyethylene terephthalate) &gt; PET thermoformed — mono transparent (APET)</t>
        </is>
      </c>
      <c r="F69" s="2" t="n">
        <v>18</v>
      </c>
      <c r="G69" s="3">
        <f>F69/SUMIF($A$2:$A$118,A69,$F$2:$F$118)</f>
        <v/>
      </c>
      <c r="H69" s="2" t="inlineStr">
        <is>
          <t>Estimate</t>
        </is>
      </c>
      <c r="I69" s="2" t="inlineStr">
        <is>
          <t>Clear PET thermoform</t>
        </is>
      </c>
    </row>
    <row r="70">
      <c r="A70" s="2" t="inlineStr">
        <is>
          <t>PKG0027</t>
        </is>
      </c>
      <c r="B70" s="2" t="inlineStr">
        <is>
          <t>Corrugated board</t>
        </is>
      </c>
      <c r="C70" s="2" t="inlineStr">
        <is>
          <t>PA.RECYCLED</t>
        </is>
      </c>
      <c r="D70" s="2" t="inlineStr">
        <is>
          <t>Paper-cardboard (recyclable fibre)</t>
        </is>
      </c>
      <c r="E70" s="2" t="inlineStr">
        <is>
          <t>Paper &amp; Cardboard &gt; Paper-cardboard (recyclable fibre)</t>
        </is>
      </c>
      <c r="F70" s="2" t="n">
        <v>120</v>
      </c>
      <c r="G70" s="3">
        <f>F70/SUMIF($A$2:$A$118,A70,$F$2:$F$118)</f>
        <v/>
      </c>
      <c r="H70" s="2" t="inlineStr">
        <is>
          <t>Estimate</t>
        </is>
      </c>
      <c r="I70" s="2" t="inlineStr">
        <is>
          <t>Small RSC box</t>
        </is>
      </c>
    </row>
    <row r="71">
      <c r="A71" s="2" t="inlineStr">
        <is>
          <t>PKG0027</t>
        </is>
      </c>
      <c r="B71" s="2" t="inlineStr">
        <is>
          <t>Tape</t>
        </is>
      </c>
      <c r="C71" s="2" t="inlineStr">
        <is>
          <t>PL.PP.FILM</t>
        </is>
      </c>
      <c r="D71" s="2" t="inlineStr">
        <is>
          <t>PP films</t>
        </is>
      </c>
      <c r="E71" s="2" t="inlineStr">
        <is>
          <t>Plastics &gt; Flexible plastics (films) &gt; PP films</t>
        </is>
      </c>
      <c r="F71" s="2" t="n">
        <v>5</v>
      </c>
      <c r="G71" s="3">
        <f>F71/SUMIF($A$2:$A$118,A71,$F$2:$F$118)</f>
        <v/>
      </c>
      <c r="H71" s="2" t="inlineStr">
        <is>
          <t>Estimate</t>
        </is>
      </c>
      <c r="I71" s="2" t="inlineStr">
        <is>
          <t>PP tape per box</t>
        </is>
      </c>
    </row>
    <row r="72">
      <c r="A72" s="2" t="inlineStr">
        <is>
          <t>PKG0027</t>
        </is>
      </c>
      <c r="B72" s="2" t="inlineStr">
        <is>
          <t>Label</t>
        </is>
      </c>
      <c r="C72" s="2" t="inlineStr">
        <is>
          <t>PA.MONO</t>
        </is>
      </c>
      <c r="D72" s="2" t="inlineStr">
        <is>
          <t>Paper/cardboard — mono-material</t>
        </is>
      </c>
      <c r="E72" s="2" t="inlineStr">
        <is>
          <t>Paper &amp; Cardboard &gt; Paper/cardboard — mono-material</t>
        </is>
      </c>
      <c r="F72" s="2" t="n">
        <v>1</v>
      </c>
      <c r="G72" s="3">
        <f>F72/SUMIF($A$2:$A$118,A72,$F$2:$F$118)</f>
        <v/>
      </c>
      <c r="H72" s="2" t="inlineStr">
        <is>
          <t>Estimate</t>
        </is>
      </c>
      <c r="I72" s="2" t="inlineStr">
        <is>
          <t>Shipping label</t>
        </is>
      </c>
    </row>
    <row r="73">
      <c r="A73" s="2" t="inlineStr">
        <is>
          <t>PKG0028</t>
        </is>
      </c>
      <c r="B73" s="2" t="inlineStr">
        <is>
          <t>Corrugated board</t>
        </is>
      </c>
      <c r="C73" s="2" t="inlineStr">
        <is>
          <t>PA.RECYCLED</t>
        </is>
      </c>
      <c r="D73" s="2" t="inlineStr">
        <is>
          <t>Paper-cardboard (recyclable fibre)</t>
        </is>
      </c>
      <c r="E73" s="2" t="inlineStr">
        <is>
          <t>Paper &amp; Cardboard &gt; Paper-cardboard (recyclable fibre)</t>
        </is>
      </c>
      <c r="F73" s="2" t="n">
        <v>380</v>
      </c>
      <c r="G73" s="3">
        <f>F73/SUMIF($A$2:$A$118,A73,$F$2:$F$118)</f>
        <v/>
      </c>
      <c r="H73" s="2" t="inlineStr">
        <is>
          <t>Estimate</t>
        </is>
      </c>
      <c r="I73" s="2" t="inlineStr">
        <is>
          <t>Medium RSC box</t>
        </is>
      </c>
    </row>
    <row r="74">
      <c r="A74" s="2" t="inlineStr">
        <is>
          <t>PKG0028</t>
        </is>
      </c>
      <c r="B74" s="2" t="inlineStr">
        <is>
          <t>Tape</t>
        </is>
      </c>
      <c r="C74" s="2" t="inlineStr">
        <is>
          <t>PL.PP.FILM</t>
        </is>
      </c>
      <c r="D74" s="2" t="inlineStr">
        <is>
          <t>PP films</t>
        </is>
      </c>
      <c r="E74" s="2" t="inlineStr">
        <is>
          <t>Plastics &gt; Flexible plastics (films) &gt; PP films</t>
        </is>
      </c>
      <c r="F74" s="2" t="n">
        <v>8</v>
      </c>
      <c r="G74" s="3">
        <f>F74/SUMIF($A$2:$A$118,A74,$F$2:$F$118)</f>
        <v/>
      </c>
      <c r="H74" s="2" t="inlineStr">
        <is>
          <t>Estimate</t>
        </is>
      </c>
      <c r="I74" s="2" t="inlineStr">
        <is>
          <t>PP tape</t>
        </is>
      </c>
    </row>
    <row r="75">
      <c r="A75" s="2" t="inlineStr">
        <is>
          <t>PKG0028</t>
        </is>
      </c>
      <c r="B75" s="2" t="inlineStr">
        <is>
          <t>Label</t>
        </is>
      </c>
      <c r="C75" s="2" t="inlineStr">
        <is>
          <t>PA.MONO</t>
        </is>
      </c>
      <c r="D75" s="2" t="inlineStr">
        <is>
          <t>Paper/cardboard — mono-material</t>
        </is>
      </c>
      <c r="E75" s="2" t="inlineStr">
        <is>
          <t>Paper &amp; Cardboard &gt; Paper/cardboard — mono-material</t>
        </is>
      </c>
      <c r="F75" s="2" t="n">
        <v>1.2</v>
      </c>
      <c r="G75" s="3">
        <f>F75/SUMIF($A$2:$A$118,A75,$F$2:$F$118)</f>
        <v/>
      </c>
      <c r="H75" s="2" t="inlineStr">
        <is>
          <t>Estimate</t>
        </is>
      </c>
      <c r="I75" s="2" t="inlineStr">
        <is>
          <t>Shipping label</t>
        </is>
      </c>
    </row>
    <row r="76">
      <c r="A76" s="2" t="inlineStr">
        <is>
          <t>PKG0029</t>
        </is>
      </c>
      <c r="B76" s="2" t="inlineStr">
        <is>
          <t>Corrugated board</t>
        </is>
      </c>
      <c r="C76" s="2" t="inlineStr">
        <is>
          <t>PA.RECYCLED</t>
        </is>
      </c>
      <c r="D76" s="2" t="inlineStr">
        <is>
          <t>Paper-cardboard (recyclable fibre)</t>
        </is>
      </c>
      <c r="E76" s="2" t="inlineStr">
        <is>
          <t>Paper &amp; Cardboard &gt; Paper-cardboard (recyclable fibre)</t>
        </is>
      </c>
      <c r="F76" s="2" t="n">
        <v>950</v>
      </c>
      <c r="G76" s="3">
        <f>F76/SUMIF($A$2:$A$118,A76,$F$2:$F$118)</f>
        <v/>
      </c>
      <c r="H76" s="2" t="inlineStr">
        <is>
          <t>Estimate</t>
        </is>
      </c>
      <c r="I76" s="2" t="inlineStr">
        <is>
          <t>Large RSC box</t>
        </is>
      </c>
    </row>
    <row r="77">
      <c r="A77" s="2" t="inlineStr">
        <is>
          <t>PKG0029</t>
        </is>
      </c>
      <c r="B77" s="2" t="inlineStr">
        <is>
          <t>Tape</t>
        </is>
      </c>
      <c r="C77" s="2" t="inlineStr">
        <is>
          <t>PL.PP.FILM</t>
        </is>
      </c>
      <c r="D77" s="2" t="inlineStr">
        <is>
          <t>PP films</t>
        </is>
      </c>
      <c r="E77" s="2" t="inlineStr">
        <is>
          <t>Plastics &gt; Flexible plastics (films) &gt; PP films</t>
        </is>
      </c>
      <c r="F77" s="2" t="n">
        <v>12</v>
      </c>
      <c r="G77" s="3">
        <f>F77/SUMIF($A$2:$A$118,A77,$F$2:$F$118)</f>
        <v/>
      </c>
      <c r="H77" s="2" t="inlineStr">
        <is>
          <t>Estimate</t>
        </is>
      </c>
      <c r="I77" s="2" t="inlineStr">
        <is>
          <t>PP tape</t>
        </is>
      </c>
    </row>
    <row r="78">
      <c r="A78" s="2" t="inlineStr">
        <is>
          <t>PKG0029</t>
        </is>
      </c>
      <c r="B78" s="2" t="inlineStr">
        <is>
          <t>Label</t>
        </is>
      </c>
      <c r="C78" s="2" t="inlineStr">
        <is>
          <t>PA.MONO</t>
        </is>
      </c>
      <c r="D78" s="2" t="inlineStr">
        <is>
          <t>Paper/cardboard — mono-material</t>
        </is>
      </c>
      <c r="E78" s="2" t="inlineStr">
        <is>
          <t>Paper &amp; Cardboard &gt; Paper/cardboard — mono-material</t>
        </is>
      </c>
      <c r="F78" s="2" t="n">
        <v>1.2</v>
      </c>
      <c r="G78" s="3">
        <f>F78/SUMIF($A$2:$A$118,A78,$F$2:$F$118)</f>
        <v/>
      </c>
      <c r="H78" s="2" t="inlineStr">
        <is>
          <t>Estimate</t>
        </is>
      </c>
      <c r="I78" s="2" t="inlineStr">
        <is>
          <t>Shipping label</t>
        </is>
      </c>
    </row>
    <row r="79">
      <c r="A79" s="2" t="inlineStr">
        <is>
          <t>PKG0030</t>
        </is>
      </c>
      <c r="B79" s="2" t="inlineStr">
        <is>
          <t>Mailer board</t>
        </is>
      </c>
      <c r="C79" s="2" t="inlineStr">
        <is>
          <t>PA.RECYCLED</t>
        </is>
      </c>
      <c r="D79" s="2" t="inlineStr">
        <is>
          <t>Paper-cardboard (recyclable fibre)</t>
        </is>
      </c>
      <c r="E79" s="2" t="inlineStr">
        <is>
          <t>Paper &amp; Cardboard &gt; Paper-cardboard (recyclable fibre)</t>
        </is>
      </c>
      <c r="F79" s="2" t="n">
        <v>220</v>
      </c>
      <c r="G79" s="3">
        <f>F79/SUMIF($A$2:$A$118,A79,$F$2:$F$118)</f>
        <v/>
      </c>
      <c r="H79" s="2" t="inlineStr">
        <is>
          <t>Estimate</t>
        </is>
      </c>
      <c r="I79" s="2" t="inlineStr">
        <is>
          <t>A5 mailer</t>
        </is>
      </c>
    </row>
    <row r="80">
      <c r="A80" s="2" t="inlineStr">
        <is>
          <t>PKG0030</t>
        </is>
      </c>
      <c r="B80" s="2" t="inlineStr">
        <is>
          <t>Paper tape</t>
        </is>
      </c>
      <c r="C80" s="2" t="inlineStr">
        <is>
          <t>PA.MONO</t>
        </is>
      </c>
      <c r="D80" s="2" t="inlineStr">
        <is>
          <t>Paper/cardboard — mono-material</t>
        </is>
      </c>
      <c r="E80" s="2" t="inlineStr">
        <is>
          <t>Paper &amp; Cardboard &gt; Paper/cardboard — mono-material</t>
        </is>
      </c>
      <c r="F80" s="2" t="n">
        <v>6</v>
      </c>
      <c r="G80" s="3">
        <f>F80/SUMIF($A$2:$A$118,A80,$F$2:$F$118)</f>
        <v/>
      </c>
      <c r="H80" s="2" t="inlineStr">
        <is>
          <t>Estimate</t>
        </is>
      </c>
      <c r="I80" s="2" t="inlineStr">
        <is>
          <t>Paper tape</t>
        </is>
      </c>
    </row>
    <row r="81">
      <c r="A81" s="2" t="inlineStr">
        <is>
          <t>PKG0031</t>
        </is>
      </c>
      <c r="B81" s="2" t="inlineStr">
        <is>
          <t>Mailer board</t>
        </is>
      </c>
      <c r="C81" s="2" t="inlineStr">
        <is>
          <t>PA.RECYCLED</t>
        </is>
      </c>
      <c r="D81" s="2" t="inlineStr">
        <is>
          <t>Paper-cardboard (recyclable fibre)</t>
        </is>
      </c>
      <c r="E81" s="2" t="inlineStr">
        <is>
          <t>Paper &amp; Cardboard &gt; Paper-cardboard (recyclable fibre)</t>
        </is>
      </c>
      <c r="F81" s="2" t="n">
        <v>420</v>
      </c>
      <c r="G81" s="3">
        <f>F81/SUMIF($A$2:$A$118,A81,$F$2:$F$118)</f>
        <v/>
      </c>
      <c r="H81" s="2" t="inlineStr">
        <is>
          <t>Estimate</t>
        </is>
      </c>
      <c r="I81" s="2" t="inlineStr">
        <is>
          <t>A4 mailer</t>
        </is>
      </c>
    </row>
    <row r="82">
      <c r="A82" s="2" t="inlineStr">
        <is>
          <t>PKG0031</t>
        </is>
      </c>
      <c r="B82" s="2" t="inlineStr">
        <is>
          <t>Paper tape</t>
        </is>
      </c>
      <c r="C82" s="2" t="inlineStr">
        <is>
          <t>PA.MONO</t>
        </is>
      </c>
      <c r="D82" s="2" t="inlineStr">
        <is>
          <t>Paper/cardboard — mono-material</t>
        </is>
      </c>
      <c r="E82" s="2" t="inlineStr">
        <is>
          <t>Paper &amp; Cardboard &gt; Paper/cardboard — mono-material</t>
        </is>
      </c>
      <c r="F82" s="2" t="n">
        <v>8</v>
      </c>
      <c r="G82" s="3">
        <f>F82/SUMIF($A$2:$A$118,A82,$F$2:$F$118)</f>
        <v/>
      </c>
      <c r="H82" s="2" t="inlineStr">
        <is>
          <t>Estimate</t>
        </is>
      </c>
      <c r="I82" s="2" t="inlineStr">
        <is>
          <t>Paper tape</t>
        </is>
      </c>
    </row>
    <row r="83">
      <c r="A83" s="2" t="inlineStr">
        <is>
          <t>PKG0032</t>
        </is>
      </c>
      <c r="B83" s="2" t="inlineStr">
        <is>
          <t>Corrugated board</t>
        </is>
      </c>
      <c r="C83" s="2" t="inlineStr">
        <is>
          <t>PA.RECYCLED</t>
        </is>
      </c>
      <c r="D83" s="2" t="inlineStr">
        <is>
          <t>Paper-cardboard (recyclable fibre)</t>
        </is>
      </c>
      <c r="E83" s="2" t="inlineStr">
        <is>
          <t>Paper &amp; Cardboard &gt; Paper-cardboard (recyclable fibre)</t>
        </is>
      </c>
      <c r="F83" s="2" t="n">
        <v>180</v>
      </c>
      <c r="G83" s="3">
        <f>F83/SUMIF($A$2:$A$118,A83,$F$2:$F$118)</f>
        <v/>
      </c>
      <c r="H83" s="2" t="inlineStr">
        <is>
          <t>Estimate</t>
        </is>
      </c>
      <c r="I83" s="2" t="inlineStr">
        <is>
          <t>SRP tray</t>
        </is>
      </c>
    </row>
    <row r="84">
      <c r="A84" s="2" t="inlineStr">
        <is>
          <t>PKG0032</t>
        </is>
      </c>
      <c r="B84" s="2" t="inlineStr">
        <is>
          <t>Inks/adhesive</t>
        </is>
      </c>
      <c r="C84" s="2" t="inlineStr">
        <is>
          <t>OT.OTHER_PACK</t>
        </is>
      </c>
      <c r="D84" s="2" t="inlineStr">
        <is>
          <t>Packaging of other materials</t>
        </is>
      </c>
      <c r="E84" s="2" t="inlineStr">
        <is>
          <t>Other &gt; Packaging of other materials</t>
        </is>
      </c>
      <c r="F84" s="2" t="n">
        <v>2</v>
      </c>
      <c r="G84" s="3">
        <f>F84/SUMIF($A$2:$A$118,A84,$F$2:$F$118)</f>
        <v/>
      </c>
      <c r="H84" s="2" t="inlineStr">
        <is>
          <t>Estimate</t>
        </is>
      </c>
      <c r="I84" s="2" t="inlineStr">
        <is>
          <t>Printing/adhesive</t>
        </is>
      </c>
    </row>
    <row r="85">
      <c r="A85" s="2" t="inlineStr">
        <is>
          <t>PKG0033</t>
        </is>
      </c>
      <c r="B85" s="2" t="inlineStr">
        <is>
          <t>Corrugated board</t>
        </is>
      </c>
      <c r="C85" s="2" t="inlineStr">
        <is>
          <t>PA.RECYCLED</t>
        </is>
      </c>
      <c r="D85" s="2" t="inlineStr">
        <is>
          <t>Paper-cardboard (recyclable fibre)</t>
        </is>
      </c>
      <c r="E85" s="2" t="inlineStr">
        <is>
          <t>Paper &amp; Cardboard &gt; Paper-cardboard (recyclable fibre)</t>
        </is>
      </c>
      <c r="F85" s="2" t="n">
        <v>450</v>
      </c>
      <c r="G85" s="3">
        <f>F85/SUMIF($A$2:$A$118,A85,$F$2:$F$118)</f>
        <v/>
      </c>
      <c r="H85" s="2" t="inlineStr">
        <is>
          <t>Estimate</t>
        </is>
      </c>
      <c r="I85" s="2" t="inlineStr">
        <is>
          <t>Wrap-around case</t>
        </is>
      </c>
    </row>
    <row r="86">
      <c r="A86" s="2" t="inlineStr">
        <is>
          <t>PKG0033</t>
        </is>
      </c>
      <c r="B86" s="2" t="inlineStr">
        <is>
          <t>Inks/adhesive</t>
        </is>
      </c>
      <c r="C86" s="2" t="inlineStr">
        <is>
          <t>OT.OTHER_PACK</t>
        </is>
      </c>
      <c r="D86" s="2" t="inlineStr">
        <is>
          <t>Packaging of other materials</t>
        </is>
      </c>
      <c r="E86" s="2" t="inlineStr">
        <is>
          <t>Other &gt; Packaging of other materials</t>
        </is>
      </c>
      <c r="F86" s="2" t="n">
        <v>3</v>
      </c>
      <c r="G86" s="3">
        <f>F86/SUMIF($A$2:$A$118,A86,$F$2:$F$118)</f>
        <v/>
      </c>
      <c r="H86" s="2" t="inlineStr">
        <is>
          <t>Estimate</t>
        </is>
      </c>
      <c r="I86" s="2" t="inlineStr">
        <is>
          <t>Printing/adhesive</t>
        </is>
      </c>
    </row>
    <row r="87">
      <c r="A87" s="2" t="inlineStr">
        <is>
          <t>PKG0034</t>
        </is>
      </c>
      <c r="B87" s="2" t="inlineStr">
        <is>
          <t>Corrugated board</t>
        </is>
      </c>
      <c r="C87" s="2" t="inlineStr">
        <is>
          <t>PA.RECYCLED</t>
        </is>
      </c>
      <c r="D87" s="2" t="inlineStr">
        <is>
          <t>Paper-cardboard (recyclable fibre)</t>
        </is>
      </c>
      <c r="E87" s="2" t="inlineStr">
        <is>
          <t>Paper &amp; Cardboard &gt; Paper-cardboard (recyclable fibre)</t>
        </is>
      </c>
      <c r="F87" s="2" t="n">
        <v>120</v>
      </c>
      <c r="G87" s="3">
        <f>F87/SUMIF($A$2:$A$118,A87,$F$2:$F$118)</f>
        <v/>
      </c>
      <c r="H87" s="2" t="inlineStr">
        <is>
          <t>Estimate</t>
        </is>
      </c>
      <c r="I87" s="2" t="inlineStr">
        <is>
          <t>Divider set</t>
        </is>
      </c>
    </row>
    <row r="88">
      <c r="A88" s="2" t="inlineStr">
        <is>
          <t>PKG0035</t>
        </is>
      </c>
      <c r="B88" s="2" t="inlineStr">
        <is>
          <t>Shrink film</t>
        </is>
      </c>
      <c r="C88" s="2" t="inlineStr">
        <is>
          <t>PL.PE.FILM</t>
        </is>
      </c>
      <c r="D88" s="2" t="inlineStr">
        <is>
          <t>PE films</t>
        </is>
      </c>
      <c r="E88" s="2" t="inlineStr">
        <is>
          <t>Plastics &gt; Flexible plastics (films) &gt; PE films</t>
        </is>
      </c>
      <c r="F88" s="2" t="n">
        <v>14</v>
      </c>
      <c r="G88" s="3">
        <f>F88/SUMIF($A$2:$A$118,A88,$F$2:$F$118)</f>
        <v/>
      </c>
      <c r="H88" s="2" t="inlineStr">
        <is>
          <t>Estimate</t>
        </is>
      </c>
      <c r="I88" s="2" t="inlineStr">
        <is>
          <t>LDPE shrink film</t>
        </is>
      </c>
    </row>
    <row r="89">
      <c r="A89" s="2" t="inlineStr">
        <is>
          <t>PKG0036</t>
        </is>
      </c>
      <c r="B89" s="2" t="inlineStr">
        <is>
          <t>Sleeve film</t>
        </is>
      </c>
      <c r="C89" s="2" t="inlineStr">
        <is>
          <t>PL.OTHER</t>
        </is>
      </c>
      <c r="D89" s="2" t="inlineStr">
        <is>
          <t>Other / mixed plastics</t>
        </is>
      </c>
      <c r="E89" s="2" t="inlineStr">
        <is>
          <t>Plastics &gt; Other / mixed plastics</t>
        </is>
      </c>
      <c r="F89" s="2" t="n">
        <v>3</v>
      </c>
      <c r="G89" s="3">
        <f>F89/SUMIF($A$2:$A$118,A89,$F$2:$F$118)</f>
        <v/>
      </c>
      <c r="H89" s="2" t="inlineStr">
        <is>
          <t>Estimate</t>
        </is>
      </c>
      <c r="I89" s="2" t="inlineStr">
        <is>
          <t>Shrink sleeve film</t>
        </is>
      </c>
    </row>
    <row r="90">
      <c r="A90" s="2" t="inlineStr">
        <is>
          <t>PKG0036</t>
        </is>
      </c>
      <c r="B90" s="2" t="inlineStr">
        <is>
          <t>Inks</t>
        </is>
      </c>
      <c r="C90" s="2" t="inlineStr">
        <is>
          <t>OT.OTHER_PACK</t>
        </is>
      </c>
      <c r="D90" s="2" t="inlineStr">
        <is>
          <t>Packaging of other materials</t>
        </is>
      </c>
      <c r="E90" s="2" t="inlineStr">
        <is>
          <t>Other &gt; Packaging of other materials</t>
        </is>
      </c>
      <c r="F90" s="2" t="n">
        <v>0.2</v>
      </c>
      <c r="G90" s="3">
        <f>F90/SUMIF($A$2:$A$118,A90,$F$2:$F$118)</f>
        <v/>
      </c>
      <c r="H90" s="2" t="inlineStr">
        <is>
          <t>Estimate</t>
        </is>
      </c>
      <c r="I90" s="2" t="inlineStr">
        <is>
          <t>Printing</t>
        </is>
      </c>
    </row>
    <row r="91">
      <c r="A91" s="2" t="inlineStr">
        <is>
          <t>PKG0037</t>
        </is>
      </c>
      <c r="B91" s="2" t="inlineStr">
        <is>
          <t>Label paper</t>
        </is>
      </c>
      <c r="C91" s="2" t="inlineStr">
        <is>
          <t>PA.MONO</t>
        </is>
      </c>
      <c r="D91" s="2" t="inlineStr">
        <is>
          <t>Paper/cardboard — mono-material</t>
        </is>
      </c>
      <c r="E91" s="2" t="inlineStr">
        <is>
          <t>Paper &amp; Cardboard &gt; Paper/cardboard — mono-material</t>
        </is>
      </c>
      <c r="F91" s="2" t="n">
        <v>1</v>
      </c>
      <c r="G91" s="3">
        <f>F91/SUMIF($A$2:$A$118,A91,$F$2:$F$118)</f>
        <v/>
      </c>
      <c r="H91" s="2" t="inlineStr">
        <is>
          <t>Estimate</t>
        </is>
      </c>
      <c r="I91" s="2" t="inlineStr">
        <is>
          <t>Paper label</t>
        </is>
      </c>
    </row>
    <row r="92">
      <c r="A92" s="2" t="inlineStr">
        <is>
          <t>PKG0037</t>
        </is>
      </c>
      <c r="B92" s="2" t="inlineStr">
        <is>
          <t>Adhesive/liner</t>
        </is>
      </c>
      <c r="C92" s="2" t="inlineStr">
        <is>
          <t>OT.OTHER_PACK</t>
        </is>
      </c>
      <c r="D92" s="2" t="inlineStr">
        <is>
          <t>Packaging of other materials</t>
        </is>
      </c>
      <c r="E92" s="2" t="inlineStr">
        <is>
          <t>Other &gt; Packaging of other materials</t>
        </is>
      </c>
      <c r="F92" s="2" t="n">
        <v>0.2</v>
      </c>
      <c r="G92" s="3">
        <f>F92/SUMIF($A$2:$A$118,A92,$F$2:$F$118)</f>
        <v/>
      </c>
      <c r="H92" s="2" t="inlineStr">
        <is>
          <t>Estimate</t>
        </is>
      </c>
      <c r="I92" s="2" t="inlineStr">
        <is>
          <t>Adhesive/liner residuals</t>
        </is>
      </c>
    </row>
    <row r="93">
      <c r="A93" s="2" t="inlineStr">
        <is>
          <t>PKG0038</t>
        </is>
      </c>
      <c r="B93" s="2" t="inlineStr">
        <is>
          <t>Corrugated board</t>
        </is>
      </c>
      <c r="C93" s="2" t="inlineStr">
        <is>
          <t>PA.RECYCLED</t>
        </is>
      </c>
      <c r="D93" s="2" t="inlineStr">
        <is>
          <t>Paper-cardboard (recyclable fibre)</t>
        </is>
      </c>
      <c r="E93" s="2" t="inlineStr">
        <is>
          <t>Paper &amp; Cardboard &gt; Paper-cardboard (recyclable fibre)</t>
        </is>
      </c>
      <c r="F93" s="2" t="n">
        <v>2200</v>
      </c>
      <c r="G93" s="3">
        <f>F93/SUMIF($A$2:$A$118,A93,$F$2:$F$118)</f>
        <v/>
      </c>
      <c r="H93" s="2" t="inlineStr">
        <is>
          <t>Estimate</t>
        </is>
      </c>
      <c r="I93" s="2" t="inlineStr">
        <is>
          <t>POS unit</t>
        </is>
      </c>
    </row>
    <row r="94">
      <c r="A94" s="2" t="inlineStr">
        <is>
          <t>PKG0038</t>
        </is>
      </c>
      <c r="B94" s="2" t="inlineStr">
        <is>
          <t>Inks/adhesive</t>
        </is>
      </c>
      <c r="C94" s="2" t="inlineStr">
        <is>
          <t>OT.OTHER_PACK</t>
        </is>
      </c>
      <c r="D94" s="2" t="inlineStr">
        <is>
          <t>Packaging of other materials</t>
        </is>
      </c>
      <c r="E94" s="2" t="inlineStr">
        <is>
          <t>Other &gt; Packaging of other materials</t>
        </is>
      </c>
      <c r="F94" s="2" t="n">
        <v>10</v>
      </c>
      <c r="G94" s="3">
        <f>F94/SUMIF($A$2:$A$118,A94,$F$2:$F$118)</f>
        <v/>
      </c>
      <c r="H94" s="2" t="inlineStr">
        <is>
          <t>Estimate</t>
        </is>
      </c>
      <c r="I94" s="2" t="inlineStr">
        <is>
          <t>Printing/adhesive</t>
        </is>
      </c>
    </row>
    <row r="95">
      <c r="A95" s="2" t="inlineStr">
        <is>
          <t>PKG0039</t>
        </is>
      </c>
      <c r="B95" s="2" t="inlineStr">
        <is>
          <t>Paperboard/corrugated</t>
        </is>
      </c>
      <c r="C95" s="2" t="inlineStr">
        <is>
          <t>PA.RECYCLED</t>
        </is>
      </c>
      <c r="D95" s="2" t="inlineStr">
        <is>
          <t>Paper-cardboard (recyclable fibre)</t>
        </is>
      </c>
      <c r="E95" s="2" t="inlineStr">
        <is>
          <t>Paper &amp; Cardboard &gt; Paper-cardboard (recyclable fibre)</t>
        </is>
      </c>
      <c r="F95" s="2" t="n">
        <v>350</v>
      </c>
      <c r="G95" s="3">
        <f>F95/SUMIF($A$2:$A$118,A95,$F$2:$F$118)</f>
        <v/>
      </c>
      <c r="H95" s="2" t="inlineStr">
        <is>
          <t>Estimate</t>
        </is>
      </c>
      <c r="I95" s="2" t="inlineStr">
        <is>
          <t>Counter unit</t>
        </is>
      </c>
    </row>
    <row r="96">
      <c r="A96" s="2" t="inlineStr">
        <is>
          <t>PKG0039</t>
        </is>
      </c>
      <c r="B96" s="2" t="inlineStr">
        <is>
          <t>Inks/adhesive</t>
        </is>
      </c>
      <c r="C96" s="2" t="inlineStr">
        <is>
          <t>OT.OTHER_PACK</t>
        </is>
      </c>
      <c r="D96" s="2" t="inlineStr">
        <is>
          <t>Packaging of other materials</t>
        </is>
      </c>
      <c r="E96" s="2" t="inlineStr">
        <is>
          <t>Other &gt; Packaging of other materials</t>
        </is>
      </c>
      <c r="F96" s="2" t="n">
        <v>2</v>
      </c>
      <c r="G96" s="3">
        <f>F96/SUMIF($A$2:$A$118,A96,$F$2:$F$118)</f>
        <v/>
      </c>
      <c r="H96" s="2" t="inlineStr">
        <is>
          <t>Estimate</t>
        </is>
      </c>
      <c r="I96" s="2" t="inlineStr">
        <is>
          <t>Printing/adhesive</t>
        </is>
      </c>
    </row>
    <row r="97">
      <c r="A97" s="2" t="inlineStr">
        <is>
          <t>PKG0040</t>
        </is>
      </c>
      <c r="B97" s="2" t="inlineStr">
        <is>
          <t>Cup paperboard</t>
        </is>
      </c>
      <c r="C97" s="2" t="inlineStr">
        <is>
          <t>PA.MONO</t>
        </is>
      </c>
      <c r="D97" s="2" t="inlineStr">
        <is>
          <t>Paper/cardboard — mono-material</t>
        </is>
      </c>
      <c r="E97" s="2" t="inlineStr">
        <is>
          <t>Paper &amp; Cardboard &gt; Paper/cardboard — mono-material</t>
        </is>
      </c>
      <c r="F97" s="2" t="n">
        <v>12</v>
      </c>
      <c r="G97" s="3">
        <f>F97/SUMIF($A$2:$A$118,A97,$F$2:$F$118)</f>
        <v/>
      </c>
      <c r="H97" s="2" t="inlineStr">
        <is>
          <t>Estimate</t>
        </is>
      </c>
      <c r="I97" s="2" t="inlineStr">
        <is>
          <t>Cup stock</t>
        </is>
      </c>
    </row>
    <row r="98">
      <c r="A98" s="2" t="inlineStr">
        <is>
          <t>PKG0040</t>
        </is>
      </c>
      <c r="B98" s="2" t="inlineStr">
        <is>
          <t>Cup lining</t>
        </is>
      </c>
      <c r="C98" s="2" t="inlineStr">
        <is>
          <t>PL.PE.FILM</t>
        </is>
      </c>
      <c r="D98" s="2" t="inlineStr">
        <is>
          <t>PE films</t>
        </is>
      </c>
      <c r="E98" s="2" t="inlineStr">
        <is>
          <t>Plastics &gt; Flexible plastics (films) &gt; PE films</t>
        </is>
      </c>
      <c r="F98" s="2" t="n">
        <v>1.2</v>
      </c>
      <c r="G98" s="3">
        <f>F98/SUMIF($A$2:$A$118,A98,$F$2:$F$118)</f>
        <v/>
      </c>
      <c r="H98" s="2" t="inlineStr">
        <is>
          <t>Estimate</t>
        </is>
      </c>
      <c r="I98" s="2" t="inlineStr">
        <is>
          <t>PE lining</t>
        </is>
      </c>
    </row>
    <row r="99">
      <c r="A99" s="2" t="inlineStr">
        <is>
          <t>PKG0040</t>
        </is>
      </c>
      <c r="B99" s="2" t="inlineStr">
        <is>
          <t>Lid</t>
        </is>
      </c>
      <c r="C99" s="2" t="inlineStr">
        <is>
          <t>PL.PP.RIGID</t>
        </is>
      </c>
      <c r="D99" s="2" t="inlineStr">
        <is>
          <t>PP rigid (bottles, caps etc.)</t>
        </is>
      </c>
      <c r="E99" s="2" t="inlineStr">
        <is>
          <t>Plastics &gt; Rigid plastics &gt; PP rigid (bottles, caps etc.)</t>
        </is>
      </c>
      <c r="F99" s="2" t="n">
        <v>3</v>
      </c>
      <c r="G99" s="3">
        <f>F99/SUMIF($A$2:$A$118,A99,$F$2:$F$118)</f>
        <v/>
      </c>
      <c r="H99" s="2" t="inlineStr">
        <is>
          <t>Estimate</t>
        </is>
      </c>
      <c r="I99" s="2" t="inlineStr">
        <is>
          <t>PP lid</t>
        </is>
      </c>
    </row>
    <row r="100">
      <c r="A100" s="2" t="inlineStr">
        <is>
          <t>PKG0041</t>
        </is>
      </c>
      <c r="B100" s="2" t="inlineStr">
        <is>
          <t>Foil tray</t>
        </is>
      </c>
      <c r="C100" s="2" t="inlineStr">
        <is>
          <t>ME.ALU.THIN</t>
        </is>
      </c>
      <c r="D100" s="2" t="inlineStr">
        <is>
          <t>Aluminium (&lt;50 μm)</t>
        </is>
      </c>
      <c r="E100" s="2" t="inlineStr">
        <is>
          <t>Metals &gt; Aluminium &gt; Aluminium (&lt;50 μm)</t>
        </is>
      </c>
      <c r="F100" s="2" t="n">
        <v>18</v>
      </c>
      <c r="G100" s="3">
        <f>F100/SUMIF($A$2:$A$118,A100,$F$2:$F$118)</f>
        <v/>
      </c>
      <c r="H100" s="2" t="inlineStr">
        <is>
          <t>Estimate</t>
        </is>
      </c>
      <c r="I100" s="2" t="inlineStr">
        <is>
          <t>Foil tray</t>
        </is>
      </c>
    </row>
    <row r="101">
      <c r="A101" s="2" t="inlineStr">
        <is>
          <t>PKG0041</t>
        </is>
      </c>
      <c r="B101" s="2" t="inlineStr">
        <is>
          <t>Lid board</t>
        </is>
      </c>
      <c r="C101" s="2" t="inlineStr">
        <is>
          <t>PA.MONO</t>
        </is>
      </c>
      <c r="D101" s="2" t="inlineStr">
        <is>
          <t>Paper/cardboard — mono-material</t>
        </is>
      </c>
      <c r="E101" s="2" t="inlineStr">
        <is>
          <t>Paper &amp; Cardboard &gt; Paper/cardboard — mono-material</t>
        </is>
      </c>
      <c r="F101" s="2" t="n">
        <v>4</v>
      </c>
      <c r="G101" s="3">
        <f>F101/SUMIF($A$2:$A$118,A101,$F$2:$F$118)</f>
        <v/>
      </c>
      <c r="H101" s="2" t="inlineStr">
        <is>
          <t>Estimate</t>
        </is>
      </c>
      <c r="I101" s="2" t="inlineStr">
        <is>
          <t>Paperboard lid</t>
        </is>
      </c>
    </row>
    <row r="102">
      <c r="A102" s="2" t="inlineStr">
        <is>
          <t>PKG0042</t>
        </is>
      </c>
      <c r="B102" s="2" t="inlineStr">
        <is>
          <t>Tray</t>
        </is>
      </c>
      <c r="C102" s="2" t="inlineStr">
        <is>
          <t>PL.PET.THERMO.OPAQUE</t>
        </is>
      </c>
      <c r="D102" s="2" t="inlineStr">
        <is>
          <t>PET thermoformed — opaque / cPET</t>
        </is>
      </c>
      <c r="E102" s="2" t="inlineStr">
        <is>
          <t>Plastics &gt; Rigid plastics &gt; PET (polyethylene terephthalate) &gt; PET thermoformed — opaque / cPET</t>
        </is>
      </c>
      <c r="F102" s="2" t="n">
        <v>28</v>
      </c>
      <c r="G102" s="3">
        <f>F102/SUMIF($A$2:$A$118,A102,$F$2:$F$118)</f>
        <v/>
      </c>
      <c r="H102" s="2" t="inlineStr">
        <is>
          <t>Estimate</t>
        </is>
      </c>
      <c r="I102" s="2" t="inlineStr">
        <is>
          <t>CPET tray</t>
        </is>
      </c>
    </row>
    <row r="103">
      <c r="A103" s="2" t="inlineStr">
        <is>
          <t>PKG0042</t>
        </is>
      </c>
      <c r="B103" s="2" t="inlineStr">
        <is>
          <t>Lidding film</t>
        </is>
      </c>
      <c r="C103" s="2" t="inlineStr">
        <is>
          <t>PL.PE.FILM</t>
        </is>
      </c>
      <c r="D103" s="2" t="inlineStr">
        <is>
          <t>PE films</t>
        </is>
      </c>
      <c r="E103" s="2" t="inlineStr">
        <is>
          <t>Plastics &gt; Flexible plastics (films) &gt; PE films</t>
        </is>
      </c>
      <c r="F103" s="2" t="n">
        <v>2.5</v>
      </c>
      <c r="G103" s="3">
        <f>F103/SUMIF($A$2:$A$118,A103,$F$2:$F$118)</f>
        <v/>
      </c>
      <c r="H103" s="2" t="inlineStr">
        <is>
          <t>Estimate</t>
        </is>
      </c>
      <c r="I103" s="2" t="inlineStr">
        <is>
          <t>Film</t>
        </is>
      </c>
    </row>
    <row r="104">
      <c r="A104" s="2" t="inlineStr">
        <is>
          <t>PKG0043</t>
        </is>
      </c>
      <c r="B104" s="2" t="inlineStr">
        <is>
          <t>Tray</t>
        </is>
      </c>
      <c r="C104" s="2" t="inlineStr">
        <is>
          <t>PL.PET.THERMO.MONO.TR</t>
        </is>
      </c>
      <c r="D104" s="2" t="inlineStr">
        <is>
          <t>PET thermoformed — mono transparent (APET)</t>
        </is>
      </c>
      <c r="E104" s="2" t="inlineStr">
        <is>
          <t>Plastics &gt; Rigid plastics &gt; PET (polyethylene terephthalate) &gt; PET thermoformed — mono transparent (APET)</t>
        </is>
      </c>
      <c r="F104" s="2" t="n">
        <v>16</v>
      </c>
      <c r="G104" s="3">
        <f>F104/SUMIF($A$2:$A$118,A104,$F$2:$F$118)</f>
        <v/>
      </c>
      <c r="H104" s="2" t="inlineStr">
        <is>
          <t>Estimate</t>
        </is>
      </c>
      <c r="I104" s="2" t="inlineStr">
        <is>
          <t>Clear PET tray</t>
        </is>
      </c>
    </row>
    <row r="105">
      <c r="A105" s="2" t="inlineStr">
        <is>
          <t>PKG0043</t>
        </is>
      </c>
      <c r="B105" s="2" t="inlineStr">
        <is>
          <t>Lidding film</t>
        </is>
      </c>
      <c r="C105" s="2" t="inlineStr">
        <is>
          <t>PL.PE.FILM</t>
        </is>
      </c>
      <c r="D105" s="2" t="inlineStr">
        <is>
          <t>PE films</t>
        </is>
      </c>
      <c r="E105" s="2" t="inlineStr">
        <is>
          <t>Plastics &gt; Flexible plastics (films) &gt; PE films</t>
        </is>
      </c>
      <c r="F105" s="2" t="n">
        <v>1.8</v>
      </c>
      <c r="G105" s="3">
        <f>F105/SUMIF($A$2:$A$118,A105,$F$2:$F$118)</f>
        <v/>
      </c>
      <c r="H105" s="2" t="inlineStr">
        <is>
          <t>Estimate</t>
        </is>
      </c>
      <c r="I105" s="2" t="inlineStr">
        <is>
          <t>Film</t>
        </is>
      </c>
    </row>
    <row r="106">
      <c r="A106" s="2" t="inlineStr">
        <is>
          <t>PKG0044</t>
        </is>
      </c>
      <c r="B106" s="2" t="inlineStr">
        <is>
          <t>Bag paper</t>
        </is>
      </c>
      <c r="C106" s="2" t="inlineStr">
        <is>
          <t>PA.RECYCLED</t>
        </is>
      </c>
      <c r="D106" s="2" t="inlineStr">
        <is>
          <t>Paper-cardboard (recyclable fibre)</t>
        </is>
      </c>
      <c r="E106" s="2" t="inlineStr">
        <is>
          <t>Paper &amp; Cardboard &gt; Paper-cardboard (recyclable fibre)</t>
        </is>
      </c>
      <c r="F106" s="2" t="n">
        <v>70</v>
      </c>
      <c r="G106" s="3">
        <f>F106/SUMIF($A$2:$A$118,A106,$F$2:$F$118)</f>
        <v/>
      </c>
      <c r="H106" s="2" t="inlineStr">
        <is>
          <t>Estimate</t>
        </is>
      </c>
      <c r="I106" s="2" t="inlineStr">
        <is>
          <t>Bag</t>
        </is>
      </c>
    </row>
    <row r="107">
      <c r="A107" s="2" t="inlineStr">
        <is>
          <t>PKG0044</t>
        </is>
      </c>
      <c r="B107" s="2" t="inlineStr">
        <is>
          <t>Handles</t>
        </is>
      </c>
      <c r="C107" s="2" t="inlineStr">
        <is>
          <t>PA.MONO</t>
        </is>
      </c>
      <c r="D107" s="2" t="inlineStr">
        <is>
          <t>Paper/cardboard — mono-material</t>
        </is>
      </c>
      <c r="E107" s="2" t="inlineStr">
        <is>
          <t>Paper &amp; Cardboard &gt; Paper/cardboard — mono-material</t>
        </is>
      </c>
      <c r="F107" s="2" t="n">
        <v>8</v>
      </c>
      <c r="G107" s="3">
        <f>F107/SUMIF($A$2:$A$118,A107,$F$2:$F$118)</f>
        <v/>
      </c>
      <c r="H107" s="2" t="inlineStr">
        <is>
          <t>Estimate</t>
        </is>
      </c>
      <c r="I107" s="2" t="inlineStr">
        <is>
          <t>Paper handles</t>
        </is>
      </c>
    </row>
    <row r="108">
      <c r="A108" s="2" t="inlineStr">
        <is>
          <t>PKG0045</t>
        </is>
      </c>
      <c r="B108" s="2" t="inlineStr">
        <is>
          <t>Bag film</t>
        </is>
      </c>
      <c r="C108" s="2" t="inlineStr">
        <is>
          <t>PL.PE.FILM</t>
        </is>
      </c>
      <c r="D108" s="2" t="inlineStr">
        <is>
          <t>PE films</t>
        </is>
      </c>
      <c r="E108" s="2" t="inlineStr">
        <is>
          <t>Plastics &gt; Flexible plastics (films) &gt; PE films</t>
        </is>
      </c>
      <c r="F108" s="2" t="n">
        <v>6</v>
      </c>
      <c r="G108" s="3">
        <f>F108/SUMIF($A$2:$A$118,A108,$F$2:$F$118)</f>
        <v/>
      </c>
      <c r="H108" s="2" t="inlineStr">
        <is>
          <t>Estimate</t>
        </is>
      </c>
      <c r="I108" s="2" t="inlineStr">
        <is>
          <t>HDPE bag</t>
        </is>
      </c>
    </row>
    <row r="109">
      <c r="A109" s="2" t="inlineStr">
        <is>
          <t>PKG0045</t>
        </is>
      </c>
      <c r="B109" s="2" t="inlineStr">
        <is>
          <t>Inks</t>
        </is>
      </c>
      <c r="C109" s="2" t="inlineStr">
        <is>
          <t>OT.OTHER_PACK</t>
        </is>
      </c>
      <c r="D109" s="2" t="inlineStr">
        <is>
          <t>Packaging of other materials</t>
        </is>
      </c>
      <c r="E109" s="2" t="inlineStr">
        <is>
          <t>Other &gt; Packaging of other materials</t>
        </is>
      </c>
      <c r="F109" s="2" t="n">
        <v>0.2</v>
      </c>
      <c r="G109" s="3">
        <f>F109/SUMIF($A$2:$A$118,A109,$F$2:$F$118)</f>
        <v/>
      </c>
      <c r="H109" s="2" t="inlineStr">
        <is>
          <t>Estimate</t>
        </is>
      </c>
      <c r="I109" s="2" t="inlineStr">
        <is>
          <t>Printing</t>
        </is>
      </c>
    </row>
    <row r="110">
      <c r="A110" s="2" t="inlineStr">
        <is>
          <t>PKG0046</t>
        </is>
      </c>
      <c r="B110" s="2" t="inlineStr">
        <is>
          <t>Outer paper</t>
        </is>
      </c>
      <c r="C110" s="2" t="inlineStr">
        <is>
          <t>PA.RECYCLED</t>
        </is>
      </c>
      <c r="D110" s="2" t="inlineStr">
        <is>
          <t>Paper-cardboard (recyclable fibre)</t>
        </is>
      </c>
      <c r="E110" s="2" t="inlineStr">
        <is>
          <t>Paper &amp; Cardboard &gt; Paper-cardboard (recyclable fibre)</t>
        </is>
      </c>
      <c r="F110" s="2" t="n">
        <v>45</v>
      </c>
      <c r="G110" s="3">
        <f>F110/SUMIF($A$2:$A$118,A110,$F$2:$F$118)</f>
        <v/>
      </c>
      <c r="H110" s="2" t="inlineStr">
        <is>
          <t>Estimate</t>
        </is>
      </c>
      <c r="I110" s="2" t="inlineStr">
        <is>
          <t>Outer paper</t>
        </is>
      </c>
    </row>
    <row r="111">
      <c r="A111" s="2" t="inlineStr">
        <is>
          <t>PKG0046</t>
        </is>
      </c>
      <c r="B111" s="2" t="inlineStr">
        <is>
          <t>Bubble lining</t>
        </is>
      </c>
      <c r="C111" s="2" t="inlineStr">
        <is>
          <t>PL.PE.FILM</t>
        </is>
      </c>
      <c r="D111" s="2" t="inlineStr">
        <is>
          <t>PE films</t>
        </is>
      </c>
      <c r="E111" s="2" t="inlineStr">
        <is>
          <t>Plastics &gt; Flexible plastics (films) &gt; PE films</t>
        </is>
      </c>
      <c r="F111" s="2" t="n">
        <v>18</v>
      </c>
      <c r="G111" s="3">
        <f>F111/SUMIF($A$2:$A$118,A111,$F$2:$F$118)</f>
        <v/>
      </c>
      <c r="H111" s="2" t="inlineStr">
        <is>
          <t>Estimate</t>
        </is>
      </c>
      <c r="I111" s="2" t="inlineStr">
        <is>
          <t>LDPE bubbles</t>
        </is>
      </c>
    </row>
    <row r="112">
      <c r="A112" s="2" t="inlineStr">
        <is>
          <t>PKG0046</t>
        </is>
      </c>
      <c r="B112" s="2" t="inlineStr">
        <is>
          <t>Adhesive strip</t>
        </is>
      </c>
      <c r="C112" s="2" t="inlineStr">
        <is>
          <t>OT.OTHER_PACK</t>
        </is>
      </c>
      <c r="D112" s="2" t="inlineStr">
        <is>
          <t>Packaging of other materials</t>
        </is>
      </c>
      <c r="E112" s="2" t="inlineStr">
        <is>
          <t>Other &gt; Packaging of other materials</t>
        </is>
      </c>
      <c r="F112" s="2" t="n">
        <v>1</v>
      </c>
      <c r="G112" s="3">
        <f>F112/SUMIF($A$2:$A$118,A112,$F$2:$F$118)</f>
        <v/>
      </c>
      <c r="H112" s="2" t="inlineStr">
        <is>
          <t>Estimate</t>
        </is>
      </c>
      <c r="I112" s="2" t="inlineStr">
        <is>
          <t>Adhesive</t>
        </is>
      </c>
    </row>
    <row r="113">
      <c r="A113" s="2" t="inlineStr">
        <is>
          <t>PKG0047</t>
        </is>
      </c>
      <c r="B113" s="2" t="inlineStr">
        <is>
          <t>Pallet</t>
        </is>
      </c>
      <c r="C113" s="2" t="inlineStr">
        <is>
          <t>WO.PACK</t>
        </is>
      </c>
      <c r="D113" s="2" t="inlineStr">
        <is>
          <t>Wood packaging</t>
        </is>
      </c>
      <c r="E113" s="2" t="inlineStr">
        <is>
          <t>Wood &gt; Wood packaging</t>
        </is>
      </c>
      <c r="F113" s="2" t="n">
        <v>25000</v>
      </c>
      <c r="G113" s="3">
        <f>F113/SUMIF($A$2:$A$118,A113,$F$2:$F$118)</f>
        <v/>
      </c>
      <c r="H113" s="2" t="inlineStr">
        <is>
          <t>Spec (EPAL)</t>
        </is>
      </c>
      <c r="I113" s="2" t="inlineStr">
        <is>
          <t>Approx. 25 kg</t>
        </is>
      </c>
    </row>
    <row r="114">
      <c r="A114" s="2" t="inlineStr">
        <is>
          <t>PKG0048</t>
        </is>
      </c>
      <c r="B114" s="2" t="inlineStr">
        <is>
          <t>Pallet</t>
        </is>
      </c>
      <c r="C114" s="2" t="inlineStr">
        <is>
          <t>WO.PACK</t>
        </is>
      </c>
      <c r="D114" s="2" t="inlineStr">
        <is>
          <t>Wood packaging</t>
        </is>
      </c>
      <c r="E114" s="2" t="inlineStr">
        <is>
          <t>Wood &gt; Wood packaging</t>
        </is>
      </c>
      <c r="F114" s="2" t="n">
        <v>28000</v>
      </c>
      <c r="G114" s="3">
        <f>F114/SUMIF($A$2:$A$118,A114,$F$2:$F$118)</f>
        <v/>
      </c>
      <c r="H114" s="2" t="inlineStr">
        <is>
          <t>Estimate</t>
        </is>
      </c>
      <c r="I114" s="2" t="inlineStr">
        <is>
          <t>Typical wooden pallet mass</t>
        </is>
      </c>
    </row>
    <row r="115">
      <c r="A115" s="2" t="inlineStr">
        <is>
          <t>PKG0049</t>
        </is>
      </c>
      <c r="B115" s="2" t="inlineStr">
        <is>
          <t>Pallet structure</t>
        </is>
      </c>
      <c r="C115" s="2" t="inlineStr">
        <is>
          <t>CO.FIBRE_COMP</t>
        </is>
      </c>
      <c r="D115" s="2" t="inlineStr">
        <is>
          <t>Fibre-based composite</t>
        </is>
      </c>
      <c r="E115" s="2" t="inlineStr">
        <is>
          <t>Composites &amp; Multimaterial &gt; Fibre-based composite</t>
        </is>
      </c>
      <c r="F115" s="2" t="n">
        <v>9000</v>
      </c>
      <c r="G115" s="3">
        <f>F115/SUMIF($A$2:$A$118,A115,$F$2:$F$118)</f>
        <v/>
      </c>
      <c r="H115" s="2" t="inlineStr">
        <is>
          <t>Estimate</t>
        </is>
      </c>
      <c r="I115" s="2" t="inlineStr">
        <is>
          <t>Typical fibre pallet weight ~9 kg</t>
        </is>
      </c>
    </row>
    <row r="116">
      <c r="A116" s="2" t="inlineStr">
        <is>
          <t>PKG0050</t>
        </is>
      </c>
      <c r="B116" s="2" t="inlineStr">
        <is>
          <t>Stretch film</t>
        </is>
      </c>
      <c r="C116" s="2" t="inlineStr">
        <is>
          <t>PL.PE.FILM</t>
        </is>
      </c>
      <c r="D116" s="2" t="inlineStr">
        <is>
          <t>PE films</t>
        </is>
      </c>
      <c r="E116" s="2" t="inlineStr">
        <is>
          <t>Plastics &gt; Flexible plastics (films) &gt; PE films</t>
        </is>
      </c>
      <c r="F116" s="2" t="n">
        <v>200</v>
      </c>
      <c r="G116" s="3">
        <f>F116/SUMIF($A$2:$A$118,A116,$F$2:$F$118)</f>
        <v/>
      </c>
      <c r="H116" s="2" t="inlineStr">
        <is>
          <t>Estimate</t>
        </is>
      </c>
      <c r="I116" s="2" t="inlineStr">
        <is>
          <t>Typical film used per pallet</t>
        </is>
      </c>
    </row>
    <row r="117">
      <c r="A117" s="2" t="inlineStr">
        <is>
          <t>PKG0051</t>
        </is>
      </c>
      <c r="B117" s="2" t="inlineStr">
        <is>
          <t>Strapping</t>
        </is>
      </c>
      <c r="C117" s="2" t="inlineStr">
        <is>
          <t>PL.PP.FILM</t>
        </is>
      </c>
      <c r="D117" s="2" t="inlineStr">
        <is>
          <t>PP films</t>
        </is>
      </c>
      <c r="E117" s="2" t="inlineStr">
        <is>
          <t>Plastics &gt; Flexible plastics (films) &gt; PP films</t>
        </is>
      </c>
      <c r="F117" s="2" t="n">
        <v>60</v>
      </c>
      <c r="G117" s="3">
        <f>F117/SUMIF($A$2:$A$118,A117,$F$2:$F$118)</f>
        <v/>
      </c>
      <c r="H117" s="2" t="inlineStr">
        <is>
          <t>Estimate</t>
        </is>
      </c>
      <c r="I117" s="2" t="inlineStr">
        <is>
          <t>Typical PP strap use per pallet</t>
        </is>
      </c>
    </row>
    <row r="118">
      <c r="A118" s="2" t="inlineStr">
        <is>
          <t>PKG0052</t>
        </is>
      </c>
      <c r="B118" s="2" t="inlineStr">
        <is>
          <t>Slip sheet</t>
        </is>
      </c>
      <c r="C118" s="2" t="inlineStr">
        <is>
          <t>PA.RECYCLED</t>
        </is>
      </c>
      <c r="D118" s="2" t="inlineStr">
        <is>
          <t>Paper-cardboard (recyclable fibre)</t>
        </is>
      </c>
      <c r="E118" s="2" t="inlineStr">
        <is>
          <t>Paper &amp; Cardboard &gt; Paper-cardboard (recyclable fibre)</t>
        </is>
      </c>
      <c r="F118" s="2" t="n">
        <v>750</v>
      </c>
      <c r="G118" s="3">
        <f>F118/SUMIF($A$2:$A$118,A118,$F$2:$F$118)</f>
        <v/>
      </c>
      <c r="H118" s="2" t="inlineStr">
        <is>
          <t>Estimate</t>
        </is>
      </c>
      <c r="I118" s="2" t="inlineStr">
        <is>
          <t>Heavy paperboard slip sheet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18" customWidth="1" min="4" max="4"/>
    <col width="26" customWidth="1" min="5" max="5"/>
    <col width="42" customWidth="1" min="6" max="6"/>
    <col width="18" customWidth="1" min="7" max="7"/>
    <col width="16" customWidth="1" min="8" max="8"/>
    <col width="18" customWidth="1" min="9" max="9"/>
    <col width="22" customWidth="1" min="10" max="10"/>
    <col width="16" customWidth="1" min="11" max="11"/>
    <col width="14" customWidth="1" min="12" max="12"/>
    <col width="18" customWidth="1" min="13" max="13"/>
    <col width="26" customWidth="1" min="14" max="14"/>
    <col width="16" customWidth="1" min="15" max="15"/>
    <col width="14" customWidth="1" min="16" max="16"/>
    <col width="40" customWidth="1" min="17" max="17"/>
    <col width="10" customWidth="1" min="18" max="18"/>
    <col width="16" customWidth="1" min="19" max="19"/>
    <col width="14" customWidth="1" min="20" max="20"/>
    <col width="34" customWidth="1" min="21" max="21"/>
    <col width="50" customWidth="1" min="22" max="22"/>
  </cols>
  <sheetData>
    <row r="1">
      <c r="A1" s="1" t="inlineStr">
        <is>
          <t>PackID</t>
        </is>
      </c>
      <c r="B1" s="1" t="inlineStr">
        <is>
          <t>Packaging Name</t>
        </is>
      </c>
      <c r="C1" s="1" t="inlineStr">
        <is>
          <t>Component</t>
        </is>
      </c>
      <c r="D1" s="1" t="inlineStr">
        <is>
          <t>Material TaxonID</t>
        </is>
      </c>
      <c r="E1" s="1" t="inlineStr">
        <is>
          <t>Material Name</t>
        </is>
      </c>
      <c r="F1" s="1" t="inlineStr">
        <is>
          <t>Material Path</t>
        </is>
      </c>
      <c r="G1" s="1" t="inlineStr">
        <is>
          <t>Material Weight (g)</t>
        </is>
      </c>
      <c r="H1" s="1" t="inlineStr">
        <is>
          <t>% of Pack Weight</t>
        </is>
      </c>
      <c r="I1" s="1" t="inlineStr">
        <is>
          <t>UK Category</t>
        </is>
      </c>
      <c r="J1" s="1" t="inlineStr">
        <is>
          <t>UK Subcategory</t>
        </is>
      </c>
      <c r="K1" s="1" t="inlineStr">
        <is>
          <t>UK Rate (GBP/kg)</t>
        </is>
      </c>
      <c r="L1" s="1" t="inlineStr">
        <is>
          <t>UK Fee (GBP)</t>
        </is>
      </c>
      <c r="M1" s="1" t="inlineStr">
        <is>
          <t>NL Category</t>
        </is>
      </c>
      <c r="N1" s="1" t="inlineStr">
        <is>
          <t>NL Subcategory</t>
        </is>
      </c>
      <c r="O1" s="1" t="inlineStr">
        <is>
          <t>NL Rate (EUR/kg)</t>
        </is>
      </c>
      <c r="P1" s="1" t="inlineStr">
        <is>
          <t>NL Fee (EUR)</t>
        </is>
      </c>
      <c r="Q1" s="1" t="inlineStr">
        <is>
          <t>BE Category</t>
        </is>
      </c>
      <c r="R1" s="1" t="inlineStr">
        <is>
          <t>BE Code</t>
        </is>
      </c>
      <c r="S1" s="1" t="inlineStr">
        <is>
          <t>BE Rate (EUR/kg)</t>
        </is>
      </c>
      <c r="T1" s="1" t="inlineStr">
        <is>
          <t>BE Fee (EUR)</t>
        </is>
      </c>
      <c r="U1" s="1" t="inlineStr">
        <is>
          <t>Mapping Notes</t>
        </is>
      </c>
      <c r="V1" s="1" t="inlineStr">
        <is>
          <t>Source URLs</t>
        </is>
      </c>
    </row>
    <row r="2">
      <c r="A2" s="2" t="inlineStr">
        <is>
          <t>PKG0001</t>
        </is>
      </c>
      <c r="B2" s="2" t="inlineStr">
        <is>
          <t>PET beverage bottle 330 mL (clear) + screw cap + label</t>
        </is>
      </c>
      <c r="C2" s="2" t="inlineStr">
        <is>
          <t>Bottle body</t>
        </is>
      </c>
      <c r="D2" s="2" t="inlineStr">
        <is>
          <t>PL.PET.BF.TR.CLEAR</t>
        </is>
      </c>
      <c r="E2" s="2" t="inlineStr">
        <is>
          <t>PET bottles &amp; flasks — transparent colourless</t>
        </is>
      </c>
      <c r="F2" s="2" t="inlineStr">
        <is>
          <t>Plastics &gt; Rigid plastics &gt; PET (polyethylene terephthalate) &gt; PET bottles &amp; flasks — transparent colourless</t>
        </is>
      </c>
      <c r="G2" s="4" t="n">
        <v>21</v>
      </c>
      <c r="H2" s="3" t="n"/>
      <c r="I2" s="2" t="inlineStr">
        <is>
          <t>Plastic</t>
        </is>
      </c>
      <c r="J2" s="2" t="inlineStr">
        <is>
          <t>PET.BF.TR.CLEAR</t>
        </is>
      </c>
      <c r="K2" s="5" t="n">
        <v>0.423</v>
      </c>
      <c r="L2" s="6" t="n">
        <v>0.008883</v>
      </c>
      <c r="M2" s="2" t="inlineStr">
        <is>
          <t>Plastic vormvast</t>
        </is>
      </c>
      <c r="N2" s="2" t="inlineStr"/>
      <c r="O2" s="5" t="n">
        <v>1.22</v>
      </c>
      <c r="P2" s="7" t="n">
        <v>0.02562</v>
      </c>
      <c r="Q2" s="2" t="inlineStr">
        <is>
          <t>PET – Bottles and flasks - Transparent colourless</t>
        </is>
      </c>
      <c r="R2" s="2" t="inlineStr">
        <is>
          <t>005-01</t>
        </is>
      </c>
      <c r="S2" s="5" t="n">
        <v>0.2718</v>
      </c>
      <c r="T2" s="7" t="n">
        <v>0.0057078</v>
      </c>
      <c r="U2" s="2" t="inlineStr">
        <is>
          <t>NL plastic type inferred (rigid vs flexible) from material/component keywords.</t>
        </is>
      </c>
      <c r="V2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3">
      <c r="A3" s="2" t="inlineStr">
        <is>
          <t>PKG0001</t>
        </is>
      </c>
      <c r="B3" s="2" t="inlineStr">
        <is>
          <t>PET beverage bottle 330 mL (clear) + screw cap + label</t>
        </is>
      </c>
      <c r="C3" s="2" t="inlineStr">
        <is>
          <t>Cap</t>
        </is>
      </c>
      <c r="D3" s="2" t="inlineStr">
        <is>
          <t>PL.PP.RIGID</t>
        </is>
      </c>
      <c r="E3" s="2" t="inlineStr">
        <is>
          <t>PP rigid (bottles, caps etc.)</t>
        </is>
      </c>
      <c r="F3" s="2" t="inlineStr">
        <is>
          <t>Plastics &gt; Rigid plastics &gt; PP rigid (bottles, caps etc.)</t>
        </is>
      </c>
      <c r="G3" s="4" t="n">
        <v>2</v>
      </c>
      <c r="H3" s="3" t="n"/>
      <c r="I3" s="2" t="inlineStr">
        <is>
          <t>Plastic</t>
        </is>
      </c>
      <c r="J3" s="2" t="inlineStr">
        <is>
          <t>PP.RIGID</t>
        </is>
      </c>
      <c r="K3" s="5" t="n">
        <v>0.423</v>
      </c>
      <c r="L3" s="6" t="n">
        <v>0.000846</v>
      </c>
      <c r="M3" s="2" t="inlineStr">
        <is>
          <t>Plastic vormvast</t>
        </is>
      </c>
      <c r="N3" s="2" t="inlineStr"/>
      <c r="O3" s="5" t="n">
        <v>1.22</v>
      </c>
      <c r="P3" s="7" t="n">
        <v>0.00244</v>
      </c>
      <c r="Q3" s="2" t="inlineStr">
        <is>
          <t>PP – Bottles, flasks and other rigid packaging</t>
        </is>
      </c>
      <c r="R3" s="2" t="inlineStr">
        <is>
          <t>011-01</t>
        </is>
      </c>
      <c r="S3" s="5" t="n">
        <v>0.8048999999999999</v>
      </c>
      <c r="T3" s="7" t="n">
        <v>0.0016098</v>
      </c>
      <c r="U3" s="2" t="inlineStr">
        <is>
          <t>NL plastic type inferred (rigid vs flexible) from material/component keywords.</t>
        </is>
      </c>
      <c r="V3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4">
      <c r="A4" s="2" t="inlineStr">
        <is>
          <t>PKG0001</t>
        </is>
      </c>
      <c r="B4" s="2" t="inlineStr">
        <is>
          <t>PET beverage bottle 330 mL (clear) + screw cap + label</t>
        </is>
      </c>
      <c r="C4" s="2" t="inlineStr">
        <is>
          <t>Label</t>
        </is>
      </c>
      <c r="D4" s="2" t="inlineStr">
        <is>
          <t>PA.MONO</t>
        </is>
      </c>
      <c r="E4" s="2" t="inlineStr">
        <is>
          <t>Paper/cardboard — mono-material</t>
        </is>
      </c>
      <c r="F4" s="2" t="inlineStr">
        <is>
          <t>Paper &amp; Cardboard &gt; Paper/cardboard — mono-material</t>
        </is>
      </c>
      <c r="G4" s="4" t="n">
        <v>0.6</v>
      </c>
      <c r="H4" s="3" t="n"/>
      <c r="I4" s="2" t="inlineStr">
        <is>
          <t>Paper and card</t>
        </is>
      </c>
      <c r="J4" s="2" t="inlineStr"/>
      <c r="K4" s="5" t="n">
        <v>0.196</v>
      </c>
      <c r="L4" s="6" t="n">
        <v>0.0001176</v>
      </c>
      <c r="M4" s="2" t="inlineStr">
        <is>
          <t>Papier en karton</t>
        </is>
      </c>
      <c r="N4" s="2" t="inlineStr"/>
      <c r="O4" s="5" t="n">
        <v>0.017</v>
      </c>
      <c r="P4" s="7" t="n">
        <v>1.02e-05</v>
      </c>
      <c r="Q4" s="2" t="inlineStr">
        <is>
          <t>Paper-cardboard</t>
        </is>
      </c>
      <c r="R4" s="2" t="inlineStr">
        <is>
          <t>002</t>
        </is>
      </c>
      <c r="S4" s="5" t="n">
        <v>0.1503</v>
      </c>
      <c r="T4" s="7" t="n">
        <v>9.017999999999998e-05</v>
      </c>
      <c r="U4" s="2" t="inlineStr"/>
      <c r="V4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5">
      <c r="A5" s="2" t="inlineStr">
        <is>
          <t>PKG0002</t>
        </is>
      </c>
      <c r="B5" s="2" t="inlineStr">
        <is>
          <t>PET beverage bottle 500 mL (clear) + screw cap + label</t>
        </is>
      </c>
      <c r="C5" s="2" t="inlineStr">
        <is>
          <t>Bottle body</t>
        </is>
      </c>
      <c r="D5" s="2" t="inlineStr">
        <is>
          <t>PL.PET.BF.TR.CLEAR</t>
        </is>
      </c>
      <c r="E5" s="2" t="inlineStr">
        <is>
          <t>PET bottles &amp; flasks — transparent colourless</t>
        </is>
      </c>
      <c r="F5" s="2" t="inlineStr">
        <is>
          <t>Plastics &gt; Rigid plastics &gt; PET (polyethylene terephthalate) &gt; PET bottles &amp; flasks — transparent colourless</t>
        </is>
      </c>
      <c r="G5" s="4" t="n">
        <v>24</v>
      </c>
      <c r="H5" s="3" t="n"/>
      <c r="I5" s="2" t="inlineStr">
        <is>
          <t>Plastic</t>
        </is>
      </c>
      <c r="J5" s="2" t="inlineStr">
        <is>
          <t>PET.BF.TR.CLEAR</t>
        </is>
      </c>
      <c r="K5" s="5" t="n">
        <v>0.423</v>
      </c>
      <c r="L5" s="6" t="n">
        <v>0.010152</v>
      </c>
      <c r="M5" s="2" t="inlineStr">
        <is>
          <t>Plastic vormvast</t>
        </is>
      </c>
      <c r="N5" s="2" t="inlineStr"/>
      <c r="O5" s="5" t="n">
        <v>1.22</v>
      </c>
      <c r="P5" s="7" t="n">
        <v>0.02928</v>
      </c>
      <c r="Q5" s="2" t="inlineStr">
        <is>
          <t>PET – Bottles and flasks - Transparent colourless</t>
        </is>
      </c>
      <c r="R5" s="2" t="inlineStr">
        <is>
          <t>005-01</t>
        </is>
      </c>
      <c r="S5" s="5" t="n">
        <v>0.2718</v>
      </c>
      <c r="T5" s="7" t="n">
        <v>0.0065232</v>
      </c>
      <c r="U5" s="2" t="inlineStr">
        <is>
          <t>NL plastic type inferred (rigid vs flexible) from material/component keywords.</t>
        </is>
      </c>
      <c r="V5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6">
      <c r="A6" s="2" t="inlineStr">
        <is>
          <t>PKG0002</t>
        </is>
      </c>
      <c r="B6" s="2" t="inlineStr">
        <is>
          <t>PET beverage bottle 500 mL (clear) + screw cap + label</t>
        </is>
      </c>
      <c r="C6" s="2" t="inlineStr">
        <is>
          <t>Cap</t>
        </is>
      </c>
      <c r="D6" s="2" t="inlineStr">
        <is>
          <t>PL.PP.RIGID</t>
        </is>
      </c>
      <c r="E6" s="2" t="inlineStr">
        <is>
          <t>PP rigid (bottles, caps etc.)</t>
        </is>
      </c>
      <c r="F6" s="2" t="inlineStr">
        <is>
          <t>Plastics &gt; Rigid plastics &gt; PP rigid (bottles, caps etc.)</t>
        </is>
      </c>
      <c r="G6" s="4" t="n">
        <v>1.8</v>
      </c>
      <c r="H6" s="3" t="n"/>
      <c r="I6" s="2" t="inlineStr">
        <is>
          <t>Plastic</t>
        </is>
      </c>
      <c r="J6" s="2" t="inlineStr">
        <is>
          <t>PP.RIGID</t>
        </is>
      </c>
      <c r="K6" s="5" t="n">
        <v>0.423</v>
      </c>
      <c r="L6" s="6" t="n">
        <v>0.0007614</v>
      </c>
      <c r="M6" s="2" t="inlineStr">
        <is>
          <t>Plastic vormvast</t>
        </is>
      </c>
      <c r="N6" s="2" t="inlineStr"/>
      <c r="O6" s="5" t="n">
        <v>1.22</v>
      </c>
      <c r="P6" s="7" t="n">
        <v>0.002196</v>
      </c>
      <c r="Q6" s="2" t="inlineStr">
        <is>
          <t>PP – Bottles, flasks and other rigid packaging</t>
        </is>
      </c>
      <c r="R6" s="2" t="inlineStr">
        <is>
          <t>011-01</t>
        </is>
      </c>
      <c r="S6" s="5" t="n">
        <v>0.8048999999999999</v>
      </c>
      <c r="T6" s="7" t="n">
        <v>0.00144882</v>
      </c>
      <c r="U6" s="2" t="inlineStr">
        <is>
          <t>NL plastic type inferred (rigid vs flexible) from material/component keywords.</t>
        </is>
      </c>
      <c r="V6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7">
      <c r="A7" s="2" t="inlineStr">
        <is>
          <t>PKG0002</t>
        </is>
      </c>
      <c r="B7" s="2" t="inlineStr">
        <is>
          <t>PET beverage bottle 500 mL (clear) + screw cap + label</t>
        </is>
      </c>
      <c r="C7" s="2" t="inlineStr">
        <is>
          <t>Label</t>
        </is>
      </c>
      <c r="D7" s="2" t="inlineStr">
        <is>
          <t>PA.MONO</t>
        </is>
      </c>
      <c r="E7" s="2" t="inlineStr">
        <is>
          <t>Paper/cardboard — mono-material</t>
        </is>
      </c>
      <c r="F7" s="2" t="inlineStr">
        <is>
          <t>Paper &amp; Cardboard &gt; Paper/cardboard — mono-material</t>
        </is>
      </c>
      <c r="G7" s="4" t="n">
        <v>0.7</v>
      </c>
      <c r="H7" s="3" t="n"/>
      <c r="I7" s="2" t="inlineStr">
        <is>
          <t>Paper and card</t>
        </is>
      </c>
      <c r="J7" s="2" t="inlineStr"/>
      <c r="K7" s="5" t="n">
        <v>0.196</v>
      </c>
      <c r="L7" s="6" t="n">
        <v>0.0001372</v>
      </c>
      <c r="M7" s="2" t="inlineStr">
        <is>
          <t>Papier en karton</t>
        </is>
      </c>
      <c r="N7" s="2" t="inlineStr"/>
      <c r="O7" s="5" t="n">
        <v>0.017</v>
      </c>
      <c r="P7" s="7" t="n">
        <v>1.19e-05</v>
      </c>
      <c r="Q7" s="2" t="inlineStr">
        <is>
          <t>Paper-cardboard</t>
        </is>
      </c>
      <c r="R7" s="2" t="inlineStr">
        <is>
          <t>002</t>
        </is>
      </c>
      <c r="S7" s="5" t="n">
        <v>0.1503</v>
      </c>
      <c r="T7" s="7" t="n">
        <v>0.00010521</v>
      </c>
      <c r="U7" s="2" t="inlineStr"/>
      <c r="V7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8">
      <c r="A8" s="2" t="inlineStr">
        <is>
          <t>PKG0003</t>
        </is>
      </c>
      <c r="B8" s="2" t="inlineStr">
        <is>
          <t>PET beverage bottle 1 L (clear) + screw cap + label</t>
        </is>
      </c>
      <c r="C8" s="2" t="inlineStr">
        <is>
          <t>Bottle body</t>
        </is>
      </c>
      <c r="D8" s="2" t="inlineStr">
        <is>
          <t>PL.PET.BF.TR.CLEAR</t>
        </is>
      </c>
      <c r="E8" s="2" t="inlineStr">
        <is>
          <t>PET bottles &amp; flasks — transparent colourless</t>
        </is>
      </c>
      <c r="F8" s="2" t="inlineStr">
        <is>
          <t>Plastics &gt; Rigid plastics &gt; PET (polyethylene terephthalate) &gt; PET bottles &amp; flasks — transparent colourless</t>
        </is>
      </c>
      <c r="G8" s="4" t="n">
        <v>32</v>
      </c>
      <c r="H8" s="3" t="n"/>
      <c r="I8" s="2" t="inlineStr">
        <is>
          <t>Plastic</t>
        </is>
      </c>
      <c r="J8" s="2" t="inlineStr">
        <is>
          <t>PET.BF.TR.CLEAR</t>
        </is>
      </c>
      <c r="K8" s="5" t="n">
        <v>0.423</v>
      </c>
      <c r="L8" s="6" t="n">
        <v>0.013536</v>
      </c>
      <c r="M8" s="2" t="inlineStr">
        <is>
          <t>Plastic vormvast</t>
        </is>
      </c>
      <c r="N8" s="2" t="inlineStr"/>
      <c r="O8" s="5" t="n">
        <v>1.22</v>
      </c>
      <c r="P8" s="7" t="n">
        <v>0.03904</v>
      </c>
      <c r="Q8" s="2" t="inlineStr">
        <is>
          <t>PET – Bottles and flasks - Transparent colourless</t>
        </is>
      </c>
      <c r="R8" s="2" t="inlineStr">
        <is>
          <t>005-01</t>
        </is>
      </c>
      <c r="S8" s="5" t="n">
        <v>0.2718</v>
      </c>
      <c r="T8" s="7" t="n">
        <v>0.0086976</v>
      </c>
      <c r="U8" s="2" t="inlineStr">
        <is>
          <t>NL plastic type inferred (rigid vs flexible) from material/component keywords.</t>
        </is>
      </c>
      <c r="V8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9">
      <c r="A9" s="2" t="inlineStr">
        <is>
          <t>PKG0003</t>
        </is>
      </c>
      <c r="B9" s="2" t="inlineStr">
        <is>
          <t>PET beverage bottle 1 L (clear) + screw cap + label</t>
        </is>
      </c>
      <c r="C9" s="2" t="inlineStr">
        <is>
          <t>Cap</t>
        </is>
      </c>
      <c r="D9" s="2" t="inlineStr">
        <is>
          <t>PL.PP.RIGID</t>
        </is>
      </c>
      <c r="E9" s="2" t="inlineStr">
        <is>
          <t>PP rigid (bottles, caps etc.)</t>
        </is>
      </c>
      <c r="F9" s="2" t="inlineStr">
        <is>
          <t>Plastics &gt; Rigid plastics &gt; PP rigid (bottles, caps etc.)</t>
        </is>
      </c>
      <c r="G9" s="4" t="n">
        <v>2</v>
      </c>
      <c r="H9" s="3" t="n"/>
      <c r="I9" s="2" t="inlineStr">
        <is>
          <t>Plastic</t>
        </is>
      </c>
      <c r="J9" s="2" t="inlineStr">
        <is>
          <t>PP.RIGID</t>
        </is>
      </c>
      <c r="K9" s="5" t="n">
        <v>0.423</v>
      </c>
      <c r="L9" s="6" t="n">
        <v>0.000846</v>
      </c>
      <c r="M9" s="2" t="inlineStr">
        <is>
          <t>Plastic vormvast</t>
        </is>
      </c>
      <c r="N9" s="2" t="inlineStr"/>
      <c r="O9" s="5" t="n">
        <v>1.22</v>
      </c>
      <c r="P9" s="7" t="n">
        <v>0.00244</v>
      </c>
      <c r="Q9" s="2" t="inlineStr">
        <is>
          <t>PP – Bottles, flasks and other rigid packaging</t>
        </is>
      </c>
      <c r="R9" s="2" t="inlineStr">
        <is>
          <t>011-01</t>
        </is>
      </c>
      <c r="S9" s="5" t="n">
        <v>0.8048999999999999</v>
      </c>
      <c r="T9" s="7" t="n">
        <v>0.0016098</v>
      </c>
      <c r="U9" s="2" t="inlineStr">
        <is>
          <t>NL plastic type inferred (rigid vs flexible) from material/component keywords.</t>
        </is>
      </c>
      <c r="V9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0">
      <c r="A10" s="2" t="inlineStr">
        <is>
          <t>PKG0003</t>
        </is>
      </c>
      <c r="B10" s="2" t="inlineStr">
        <is>
          <t>PET beverage bottle 1 L (clear) + screw cap + label</t>
        </is>
      </c>
      <c r="C10" s="2" t="inlineStr">
        <is>
          <t>Label</t>
        </is>
      </c>
      <c r="D10" s="2" t="inlineStr">
        <is>
          <t>PA.MONO</t>
        </is>
      </c>
      <c r="E10" s="2" t="inlineStr">
        <is>
          <t>Paper/cardboard — mono-material</t>
        </is>
      </c>
      <c r="F10" s="2" t="inlineStr">
        <is>
          <t>Paper &amp; Cardboard &gt; Paper/cardboard — mono-material</t>
        </is>
      </c>
      <c r="G10" s="4" t="n">
        <v>1</v>
      </c>
      <c r="H10" s="3" t="n"/>
      <c r="I10" s="2" t="inlineStr">
        <is>
          <t>Paper and card</t>
        </is>
      </c>
      <c r="J10" s="2" t="inlineStr"/>
      <c r="K10" s="5" t="n">
        <v>0.196</v>
      </c>
      <c r="L10" s="6" t="n">
        <v>0.000196</v>
      </c>
      <c r="M10" s="2" t="inlineStr">
        <is>
          <t>Papier en karton</t>
        </is>
      </c>
      <c r="N10" s="2" t="inlineStr"/>
      <c r="O10" s="5" t="n">
        <v>0.017</v>
      </c>
      <c r="P10" s="7" t="n">
        <v>1.7e-05</v>
      </c>
      <c r="Q10" s="2" t="inlineStr">
        <is>
          <t>Paper-cardboard</t>
        </is>
      </c>
      <c r="R10" s="2" t="inlineStr">
        <is>
          <t>002</t>
        </is>
      </c>
      <c r="S10" s="5" t="n">
        <v>0.1503</v>
      </c>
      <c r="T10" s="7" t="n">
        <v>0.0001503</v>
      </c>
      <c r="U10" s="2" t="inlineStr"/>
      <c r="V10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1">
      <c r="A11" s="2" t="inlineStr">
        <is>
          <t>PKG0004</t>
        </is>
      </c>
      <c r="B11" s="2" t="inlineStr">
        <is>
          <t>PET beverage bottle 2 L (clear) + screw cap + label</t>
        </is>
      </c>
      <c r="C11" s="2" t="inlineStr">
        <is>
          <t>Bottle body</t>
        </is>
      </c>
      <c r="D11" s="2" t="inlineStr">
        <is>
          <t>PL.PET.BF.TR.CLEAR</t>
        </is>
      </c>
      <c r="E11" s="2" t="inlineStr">
        <is>
          <t>PET bottles &amp; flasks — transparent colourless</t>
        </is>
      </c>
      <c r="F11" s="2" t="inlineStr">
        <is>
          <t>Plastics &gt; Rigid plastics &gt; PET (polyethylene terephthalate) &gt; PET bottles &amp; flasks — transparent colourless</t>
        </is>
      </c>
      <c r="G11" s="4" t="n">
        <v>52</v>
      </c>
      <c r="H11" s="3" t="n"/>
      <c r="I11" s="2" t="inlineStr">
        <is>
          <t>Plastic</t>
        </is>
      </c>
      <c r="J11" s="2" t="inlineStr">
        <is>
          <t>PET.BF.TR.CLEAR</t>
        </is>
      </c>
      <c r="K11" s="5" t="n">
        <v>0.423</v>
      </c>
      <c r="L11" s="6" t="n">
        <v>0.021996</v>
      </c>
      <c r="M11" s="2" t="inlineStr">
        <is>
          <t>Plastic vormvast</t>
        </is>
      </c>
      <c r="N11" s="2" t="inlineStr"/>
      <c r="O11" s="5" t="n">
        <v>1.22</v>
      </c>
      <c r="P11" s="7" t="n">
        <v>0.06344</v>
      </c>
      <c r="Q11" s="2" t="inlineStr">
        <is>
          <t>PET – Bottles and flasks - Transparent colourless</t>
        </is>
      </c>
      <c r="R11" s="2" t="inlineStr">
        <is>
          <t>005-01</t>
        </is>
      </c>
      <c r="S11" s="5" t="n">
        <v>0.2718</v>
      </c>
      <c r="T11" s="7" t="n">
        <v>0.0141336</v>
      </c>
      <c r="U11" s="2" t="inlineStr">
        <is>
          <t>NL plastic type inferred (rigid vs flexible) from material/component keywords.</t>
        </is>
      </c>
      <c r="V11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2">
      <c r="A12" s="2" t="inlineStr">
        <is>
          <t>PKG0004</t>
        </is>
      </c>
      <c r="B12" s="2" t="inlineStr">
        <is>
          <t>PET beverage bottle 2 L (clear) + screw cap + label</t>
        </is>
      </c>
      <c r="C12" s="2" t="inlineStr">
        <is>
          <t>Cap</t>
        </is>
      </c>
      <c r="D12" s="2" t="inlineStr">
        <is>
          <t>PL.PP.RIGID</t>
        </is>
      </c>
      <c r="E12" s="2" t="inlineStr">
        <is>
          <t>PP rigid (bottles, caps etc.)</t>
        </is>
      </c>
      <c r="F12" s="2" t="inlineStr">
        <is>
          <t>Plastics &gt; Rigid plastics &gt; PP rigid (bottles, caps etc.)</t>
        </is>
      </c>
      <c r="G12" s="4" t="n">
        <v>2.2</v>
      </c>
      <c r="H12" s="3" t="n"/>
      <c r="I12" s="2" t="inlineStr">
        <is>
          <t>Plastic</t>
        </is>
      </c>
      <c r="J12" s="2" t="inlineStr">
        <is>
          <t>PP.RIGID</t>
        </is>
      </c>
      <c r="K12" s="5" t="n">
        <v>0.423</v>
      </c>
      <c r="L12" s="6" t="n">
        <v>0.0009306000000000001</v>
      </c>
      <c r="M12" s="2" t="inlineStr">
        <is>
          <t>Plastic vormvast</t>
        </is>
      </c>
      <c r="N12" s="2" t="inlineStr"/>
      <c r="O12" s="5" t="n">
        <v>1.22</v>
      </c>
      <c r="P12" s="7" t="n">
        <v>0.002684</v>
      </c>
      <c r="Q12" s="2" t="inlineStr">
        <is>
          <t>PP – Bottles, flasks and other rigid packaging</t>
        </is>
      </c>
      <c r="R12" s="2" t="inlineStr">
        <is>
          <t>011-01</t>
        </is>
      </c>
      <c r="S12" s="5" t="n">
        <v>0.8048999999999999</v>
      </c>
      <c r="T12" s="7" t="n">
        <v>0.00177078</v>
      </c>
      <c r="U12" s="2" t="inlineStr">
        <is>
          <t>NL plastic type inferred (rigid vs flexible) from material/component keywords.</t>
        </is>
      </c>
      <c r="V12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3">
      <c r="A13" s="2" t="inlineStr">
        <is>
          <t>PKG0004</t>
        </is>
      </c>
      <c r="B13" s="2" t="inlineStr">
        <is>
          <t>PET beverage bottle 2 L (clear) + screw cap + label</t>
        </is>
      </c>
      <c r="C13" s="2" t="inlineStr">
        <is>
          <t>Label</t>
        </is>
      </c>
      <c r="D13" s="2" t="inlineStr">
        <is>
          <t>PA.MONO</t>
        </is>
      </c>
      <c r="E13" s="2" t="inlineStr">
        <is>
          <t>Paper/cardboard — mono-material</t>
        </is>
      </c>
      <c r="F13" s="2" t="inlineStr">
        <is>
          <t>Paper &amp; Cardboard &gt; Paper/cardboard — mono-material</t>
        </is>
      </c>
      <c r="G13" s="4" t="n">
        <v>1.4</v>
      </c>
      <c r="H13" s="3" t="n"/>
      <c r="I13" s="2" t="inlineStr">
        <is>
          <t>Paper and card</t>
        </is>
      </c>
      <c r="J13" s="2" t="inlineStr"/>
      <c r="K13" s="5" t="n">
        <v>0.196</v>
      </c>
      <c r="L13" s="6" t="n">
        <v>0.0002744</v>
      </c>
      <c r="M13" s="2" t="inlineStr">
        <is>
          <t>Papier en karton</t>
        </is>
      </c>
      <c r="N13" s="2" t="inlineStr"/>
      <c r="O13" s="5" t="n">
        <v>0.017</v>
      </c>
      <c r="P13" s="7" t="n">
        <v>2.38e-05</v>
      </c>
      <c r="Q13" s="2" t="inlineStr">
        <is>
          <t>Paper-cardboard</t>
        </is>
      </c>
      <c r="R13" s="2" t="inlineStr">
        <is>
          <t>002</t>
        </is>
      </c>
      <c r="S13" s="5" t="n">
        <v>0.1503</v>
      </c>
      <c r="T13" s="7" t="n">
        <v>0.00021042</v>
      </c>
      <c r="U13" s="2" t="inlineStr"/>
      <c r="V13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4">
      <c r="A14" s="2" t="inlineStr">
        <is>
          <t>PKG0005</t>
        </is>
      </c>
      <c r="B14" s="2" t="inlineStr">
        <is>
          <t>HDPE bottle 1 L (natural) + screw cap + label</t>
        </is>
      </c>
      <c r="C14" s="2" t="inlineStr">
        <is>
          <t>Bottle body</t>
        </is>
      </c>
      <c r="D14" s="2" t="inlineStr">
        <is>
          <t>PL.PE.RIGID</t>
        </is>
      </c>
      <c r="E14" s="2" t="inlineStr">
        <is>
          <t>PE rigid (bottles, caps, trays etc.)</t>
        </is>
      </c>
      <c r="F14" s="2" t="inlineStr">
        <is>
          <t>Plastics &gt; Rigid plastics &gt; PE rigid (bottles, caps, trays etc.)</t>
        </is>
      </c>
      <c r="G14" s="4" t="n">
        <v>42</v>
      </c>
      <c r="H14" s="3" t="n"/>
      <c r="I14" s="2" t="inlineStr">
        <is>
          <t>Plastic</t>
        </is>
      </c>
      <c r="J14" s="2" t="inlineStr">
        <is>
          <t>PE.RIGID</t>
        </is>
      </c>
      <c r="K14" s="5" t="n">
        <v>0.423</v>
      </c>
      <c r="L14" s="6" t="n">
        <v>0.017766</v>
      </c>
      <c r="M14" s="2" t="inlineStr">
        <is>
          <t>Plastic vormvast</t>
        </is>
      </c>
      <c r="N14" s="2" t="inlineStr"/>
      <c r="O14" s="5" t="n">
        <v>1.22</v>
      </c>
      <c r="P14" s="7" t="n">
        <v>0.05124</v>
      </c>
      <c r="Q14" s="2" t="inlineStr">
        <is>
          <t>PE – Bottles, flasks and other hard packaging</t>
        </is>
      </c>
      <c r="R14" s="2" t="inlineStr">
        <is>
          <t>011-03</t>
        </is>
      </c>
      <c r="S14" s="5" t="n">
        <v>0.515</v>
      </c>
      <c r="T14" s="7" t="n">
        <v>0.02163</v>
      </c>
      <c r="U14" s="2" t="inlineStr">
        <is>
          <t>NL plastic type inferred (rigid vs flexible) from material/component keywords.</t>
        </is>
      </c>
      <c r="V14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5">
      <c r="A15" s="2" t="inlineStr">
        <is>
          <t>PKG0005</t>
        </is>
      </c>
      <c r="B15" s="2" t="inlineStr">
        <is>
          <t>HDPE bottle 1 L (natural) + screw cap + label</t>
        </is>
      </c>
      <c r="C15" s="2" t="inlineStr">
        <is>
          <t>Cap</t>
        </is>
      </c>
      <c r="D15" s="2" t="inlineStr">
        <is>
          <t>PL.PP.RIGID</t>
        </is>
      </c>
      <c r="E15" s="2" t="inlineStr">
        <is>
          <t>PP rigid (bottles, caps etc.)</t>
        </is>
      </c>
      <c r="F15" s="2" t="inlineStr">
        <is>
          <t>Plastics &gt; Rigid plastics &gt; PP rigid (bottles, caps etc.)</t>
        </is>
      </c>
      <c r="G15" s="4" t="n">
        <v>3</v>
      </c>
      <c r="H15" s="3" t="n"/>
      <c r="I15" s="2" t="inlineStr">
        <is>
          <t>Plastic</t>
        </is>
      </c>
      <c r="J15" s="2" t="inlineStr">
        <is>
          <t>PP.RIGID</t>
        </is>
      </c>
      <c r="K15" s="5" t="n">
        <v>0.423</v>
      </c>
      <c r="L15" s="6" t="n">
        <v>0.001269</v>
      </c>
      <c r="M15" s="2" t="inlineStr">
        <is>
          <t>Plastic vormvast</t>
        </is>
      </c>
      <c r="N15" s="2" t="inlineStr"/>
      <c r="O15" s="5" t="n">
        <v>1.22</v>
      </c>
      <c r="P15" s="7" t="n">
        <v>0.00366</v>
      </c>
      <c r="Q15" s="2" t="inlineStr">
        <is>
          <t>PP – Bottles, flasks and other rigid packaging</t>
        </is>
      </c>
      <c r="R15" s="2" t="inlineStr">
        <is>
          <t>011-01</t>
        </is>
      </c>
      <c r="S15" s="5" t="n">
        <v>0.8048999999999999</v>
      </c>
      <c r="T15" s="7" t="n">
        <v>0.0024147</v>
      </c>
      <c r="U15" s="2" t="inlineStr">
        <is>
          <t>NL plastic type inferred (rigid vs flexible) from material/component keywords.</t>
        </is>
      </c>
      <c r="V15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6">
      <c r="A16" s="2" t="inlineStr">
        <is>
          <t>PKG0005</t>
        </is>
      </c>
      <c r="B16" s="2" t="inlineStr">
        <is>
          <t>HDPE bottle 1 L (natural) + screw cap + label</t>
        </is>
      </c>
      <c r="C16" s="2" t="inlineStr">
        <is>
          <t>Label</t>
        </is>
      </c>
      <c r="D16" s="2" t="inlineStr">
        <is>
          <t>PA.MONO</t>
        </is>
      </c>
      <c r="E16" s="2" t="inlineStr">
        <is>
          <t>Paper/cardboard — mono-material</t>
        </is>
      </c>
      <c r="F16" s="2" t="inlineStr">
        <is>
          <t>Paper &amp; Cardboard &gt; Paper/cardboard — mono-material</t>
        </is>
      </c>
      <c r="G16" s="4" t="n">
        <v>1</v>
      </c>
      <c r="H16" s="3" t="n"/>
      <c r="I16" s="2" t="inlineStr">
        <is>
          <t>Paper and card</t>
        </is>
      </c>
      <c r="J16" s="2" t="inlineStr"/>
      <c r="K16" s="5" t="n">
        <v>0.196</v>
      </c>
      <c r="L16" s="6" t="n">
        <v>0.000196</v>
      </c>
      <c r="M16" s="2" t="inlineStr">
        <is>
          <t>Papier en karton</t>
        </is>
      </c>
      <c r="N16" s="2" t="inlineStr"/>
      <c r="O16" s="5" t="n">
        <v>0.017</v>
      </c>
      <c r="P16" s="7" t="n">
        <v>1.7e-05</v>
      </c>
      <c r="Q16" s="2" t="inlineStr">
        <is>
          <t>Paper-cardboard</t>
        </is>
      </c>
      <c r="R16" s="2" t="inlineStr">
        <is>
          <t>002</t>
        </is>
      </c>
      <c r="S16" s="5" t="n">
        <v>0.1503</v>
      </c>
      <c r="T16" s="7" t="n">
        <v>0.0001503</v>
      </c>
      <c r="U16" s="2" t="inlineStr"/>
      <c r="V16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7">
      <c r="A17" s="2" t="inlineStr">
        <is>
          <t>PKG0006</t>
        </is>
      </c>
      <c r="B17" s="2" t="inlineStr">
        <is>
          <t>HDPE jerry can 10 L + cap + label</t>
        </is>
      </c>
      <c r="C17" s="2" t="inlineStr">
        <is>
          <t>Can body</t>
        </is>
      </c>
      <c r="D17" s="2" t="inlineStr">
        <is>
          <t>PL.PE.RIGID</t>
        </is>
      </c>
      <c r="E17" s="2" t="inlineStr">
        <is>
          <t>PE rigid (bottles, caps, trays etc.)</t>
        </is>
      </c>
      <c r="F17" s="2" t="inlineStr">
        <is>
          <t>Plastics &gt; Rigid plastics &gt; PE rigid (bottles, caps, trays etc.)</t>
        </is>
      </c>
      <c r="G17" s="4" t="n">
        <v>350</v>
      </c>
      <c r="H17" s="3" t="n"/>
      <c r="I17" s="2" t="inlineStr">
        <is>
          <t>Plastic</t>
        </is>
      </c>
      <c r="J17" s="2" t="inlineStr">
        <is>
          <t>PE.RIGID</t>
        </is>
      </c>
      <c r="K17" s="5" t="n">
        <v>0.423</v>
      </c>
      <c r="L17" s="6" t="n">
        <v>0.14805</v>
      </c>
      <c r="M17" s="2" t="inlineStr">
        <is>
          <t>Plastic vormvast</t>
        </is>
      </c>
      <c r="N17" s="2" t="inlineStr"/>
      <c r="O17" s="5" t="n">
        <v>1.22</v>
      </c>
      <c r="P17" s="7" t="n">
        <v>0.427</v>
      </c>
      <c r="Q17" s="2" t="inlineStr">
        <is>
          <t>PE – Bottles, flasks and other hard packaging</t>
        </is>
      </c>
      <c r="R17" s="2" t="inlineStr">
        <is>
          <t>011-03</t>
        </is>
      </c>
      <c r="S17" s="5" t="n">
        <v>0.515</v>
      </c>
      <c r="T17" s="7" t="n">
        <v>0.18025</v>
      </c>
      <c r="U17" s="2" t="inlineStr">
        <is>
          <t>NL plastic type inferred (rigid vs flexible) from material/component keywords.</t>
        </is>
      </c>
      <c r="V17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8">
      <c r="A18" s="2" t="inlineStr">
        <is>
          <t>PKG0006</t>
        </is>
      </c>
      <c r="B18" s="2" t="inlineStr">
        <is>
          <t>HDPE jerry can 10 L + cap + label</t>
        </is>
      </c>
      <c r="C18" s="2" t="inlineStr">
        <is>
          <t>Cap</t>
        </is>
      </c>
      <c r="D18" s="2" t="inlineStr">
        <is>
          <t>PL.PP.RIGID</t>
        </is>
      </c>
      <c r="E18" s="2" t="inlineStr">
        <is>
          <t>PP rigid (bottles, caps etc.)</t>
        </is>
      </c>
      <c r="F18" s="2" t="inlineStr">
        <is>
          <t>Plastics &gt; Rigid plastics &gt; PP rigid (bottles, caps etc.)</t>
        </is>
      </c>
      <c r="G18" s="4" t="n">
        <v>12</v>
      </c>
      <c r="H18" s="3" t="n"/>
      <c r="I18" s="2" t="inlineStr">
        <is>
          <t>Plastic</t>
        </is>
      </c>
      <c r="J18" s="2" t="inlineStr">
        <is>
          <t>PP.RIGID</t>
        </is>
      </c>
      <c r="K18" s="5" t="n">
        <v>0.423</v>
      </c>
      <c r="L18" s="6" t="n">
        <v>0.005076</v>
      </c>
      <c r="M18" s="2" t="inlineStr">
        <is>
          <t>Plastic vormvast</t>
        </is>
      </c>
      <c r="N18" s="2" t="inlineStr"/>
      <c r="O18" s="5" t="n">
        <v>1.22</v>
      </c>
      <c r="P18" s="7" t="n">
        <v>0.01464</v>
      </c>
      <c r="Q18" s="2" t="inlineStr">
        <is>
          <t>PP – Bottles, flasks and other rigid packaging</t>
        </is>
      </c>
      <c r="R18" s="2" t="inlineStr">
        <is>
          <t>011-01</t>
        </is>
      </c>
      <c r="S18" s="5" t="n">
        <v>0.8048999999999999</v>
      </c>
      <c r="T18" s="7" t="n">
        <v>0.0096588</v>
      </c>
      <c r="U18" s="2" t="inlineStr">
        <is>
          <t>NL plastic type inferred (rigid vs flexible) from material/component keywords.</t>
        </is>
      </c>
      <c r="V18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9">
      <c r="A19" s="2" t="inlineStr">
        <is>
          <t>PKG0006</t>
        </is>
      </c>
      <c r="B19" s="2" t="inlineStr">
        <is>
          <t>HDPE jerry can 10 L + cap + label</t>
        </is>
      </c>
      <c r="C19" s="2" t="inlineStr">
        <is>
          <t>Label</t>
        </is>
      </c>
      <c r="D19" s="2" t="inlineStr">
        <is>
          <t>PA.MONO</t>
        </is>
      </c>
      <c r="E19" s="2" t="inlineStr">
        <is>
          <t>Paper/cardboard — mono-material</t>
        </is>
      </c>
      <c r="F19" s="2" t="inlineStr">
        <is>
          <t>Paper &amp; Cardboard &gt; Paper/cardboard — mono-material</t>
        </is>
      </c>
      <c r="G19" s="4" t="n">
        <v>2</v>
      </c>
      <c r="H19" s="3" t="n"/>
      <c r="I19" s="2" t="inlineStr">
        <is>
          <t>Paper and card</t>
        </is>
      </c>
      <c r="J19" s="2" t="inlineStr"/>
      <c r="K19" s="5" t="n">
        <v>0.196</v>
      </c>
      <c r="L19" s="6" t="n">
        <v>0.000392</v>
      </c>
      <c r="M19" s="2" t="inlineStr">
        <is>
          <t>Papier en karton</t>
        </is>
      </c>
      <c r="N19" s="2" t="inlineStr"/>
      <c r="O19" s="5" t="n">
        <v>0.017</v>
      </c>
      <c r="P19" s="7" t="n">
        <v>3.400000000000001e-05</v>
      </c>
      <c r="Q19" s="2" t="inlineStr">
        <is>
          <t>Paper-cardboard</t>
        </is>
      </c>
      <c r="R19" s="2" t="inlineStr">
        <is>
          <t>002</t>
        </is>
      </c>
      <c r="S19" s="5" t="n">
        <v>0.1503</v>
      </c>
      <c r="T19" s="7" t="n">
        <v>0.0003006</v>
      </c>
      <c r="U19" s="2" t="inlineStr"/>
      <c r="V19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20">
      <c r="A20" s="2" t="inlineStr">
        <is>
          <t>PKG0007</t>
        </is>
      </c>
      <c r="B20" s="2" t="inlineStr">
        <is>
          <t>PP yoghurt pot 150 g + foil lid + paper sleeve</t>
        </is>
      </c>
      <c r="C20" s="2" t="inlineStr">
        <is>
          <t>Tub body</t>
        </is>
      </c>
      <c r="D20" s="2" t="inlineStr">
        <is>
          <t>PL.PP.RIGID</t>
        </is>
      </c>
      <c r="E20" s="2" t="inlineStr">
        <is>
          <t>PP rigid (bottles, caps etc.)</t>
        </is>
      </c>
      <c r="F20" s="2" t="inlineStr">
        <is>
          <t>Plastics &gt; Rigid plastics &gt; PP rigid (bottles, caps etc.)</t>
        </is>
      </c>
      <c r="G20" s="4" t="n">
        <v>6</v>
      </c>
      <c r="H20" s="3" t="n"/>
      <c r="I20" s="2" t="inlineStr">
        <is>
          <t>Plastic</t>
        </is>
      </c>
      <c r="J20" s="2" t="inlineStr">
        <is>
          <t>PP.RIGID</t>
        </is>
      </c>
      <c r="K20" s="5" t="n">
        <v>0.423</v>
      </c>
      <c r="L20" s="6" t="n">
        <v>0.002538</v>
      </c>
      <c r="M20" s="2" t="inlineStr">
        <is>
          <t>Plastic flexibel/ niet gespecificeerd</t>
        </is>
      </c>
      <c r="N20" s="2" t="inlineStr"/>
      <c r="O20" s="5" t="n">
        <v>1.32</v>
      </c>
      <c r="P20" s="7" t="n">
        <v>0.00792</v>
      </c>
      <c r="Q20" s="2" t="inlineStr">
        <is>
          <t>PP – Bottles, flasks and other rigid packaging</t>
        </is>
      </c>
      <c r="R20" s="2" t="inlineStr">
        <is>
          <t>011-01</t>
        </is>
      </c>
      <c r="S20" s="5" t="n">
        <v>0.8048999999999999</v>
      </c>
      <c r="T20" s="7" t="n">
        <v>0.0048294</v>
      </c>
      <c r="U20" s="2" t="inlineStr">
        <is>
          <t>NL plastic type inferred (rigid vs flexible) from material/component keywords.</t>
        </is>
      </c>
      <c r="V20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21">
      <c r="A21" s="2" t="inlineStr">
        <is>
          <t>PKG0007</t>
        </is>
      </c>
      <c r="B21" s="2" t="inlineStr">
        <is>
          <t>PP yoghurt pot 150 g + foil lid + paper sleeve</t>
        </is>
      </c>
      <c r="C21" s="2" t="inlineStr">
        <is>
          <t>Lid (foil)</t>
        </is>
      </c>
      <c r="D21" s="2" t="inlineStr">
        <is>
          <t>ME.ALU.THIN</t>
        </is>
      </c>
      <c r="E21" s="2" t="inlineStr">
        <is>
          <t>Aluminium (&lt;50 μm)</t>
        </is>
      </c>
      <c r="F21" s="2" t="inlineStr">
        <is>
          <t>Metals &gt; Aluminium &gt; Aluminium (&lt;50 μm)</t>
        </is>
      </c>
      <c r="G21" s="4" t="n">
        <v>1</v>
      </c>
      <c r="H21" s="3" t="n"/>
      <c r="I21" s="2" t="inlineStr">
        <is>
          <t>Aluminium</t>
        </is>
      </c>
      <c r="J21" s="2" t="inlineStr"/>
      <c r="K21" s="5" t="n">
        <v>0.266</v>
      </c>
      <c r="L21" s="6" t="n">
        <v>0.000266</v>
      </c>
      <c r="M21" s="2" t="inlineStr">
        <is>
          <t>Aluminium</t>
        </is>
      </c>
      <c r="N21" s="2" t="inlineStr"/>
      <c r="O21" s="5" t="n">
        <v>0.3</v>
      </c>
      <c r="P21" s="7" t="n">
        <v>0.0003</v>
      </c>
      <c r="Q21" s="2" t="inlineStr">
        <is>
          <t>Aluminium &lt; 50μm (≥ 50% Alu)</t>
        </is>
      </c>
      <c r="R21" s="2" t="inlineStr">
        <is>
          <t>013</t>
        </is>
      </c>
      <c r="S21" s="5" t="n">
        <v>0.0481</v>
      </c>
      <c r="T21" s="7" t="n">
        <v>4.81e-05</v>
      </c>
      <c r="U21" s="2" t="inlineStr"/>
      <c r="V21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22">
      <c r="A22" s="2" t="inlineStr">
        <is>
          <t>PKG0007</t>
        </is>
      </c>
      <c r="B22" s="2" t="inlineStr">
        <is>
          <t>PP yoghurt pot 150 g + foil lid + paper sleeve</t>
        </is>
      </c>
      <c r="C22" s="2" t="inlineStr">
        <is>
          <t>Sleeve/label</t>
        </is>
      </c>
      <c r="D22" s="2" t="inlineStr">
        <is>
          <t>PA.MONO</t>
        </is>
      </c>
      <c r="E22" s="2" t="inlineStr">
        <is>
          <t>Paper/cardboard — mono-material</t>
        </is>
      </c>
      <c r="F22" s="2" t="inlineStr">
        <is>
          <t>Paper &amp; Cardboard &gt; Paper/cardboard — mono-material</t>
        </is>
      </c>
      <c r="G22" s="4" t="n">
        <v>1</v>
      </c>
      <c r="H22" s="3" t="n"/>
      <c r="I22" s="2" t="inlineStr">
        <is>
          <t>Paper and card</t>
        </is>
      </c>
      <c r="J22" s="2" t="inlineStr"/>
      <c r="K22" s="5" t="n">
        <v>0.196</v>
      </c>
      <c r="L22" s="6" t="n">
        <v>0.000196</v>
      </c>
      <c r="M22" s="2" t="inlineStr">
        <is>
          <t>Papier en karton</t>
        </is>
      </c>
      <c r="N22" s="2" t="inlineStr"/>
      <c r="O22" s="5" t="n">
        <v>0.017</v>
      </c>
      <c r="P22" s="7" t="n">
        <v>1.7e-05</v>
      </c>
      <c r="Q22" s="2" t="inlineStr">
        <is>
          <t>Paper-cardboard</t>
        </is>
      </c>
      <c r="R22" s="2" t="inlineStr">
        <is>
          <t>002</t>
        </is>
      </c>
      <c r="S22" s="5" t="n">
        <v>0.1503</v>
      </c>
      <c r="T22" s="7" t="n">
        <v>0.0001503</v>
      </c>
      <c r="U22" s="2" t="inlineStr"/>
      <c r="V22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23">
      <c r="A23" s="2" t="inlineStr">
        <is>
          <t>PKG0008</t>
        </is>
      </c>
      <c r="B23" s="2" t="inlineStr">
        <is>
          <t>PP yoghurt pot 500 g + foil lid + label</t>
        </is>
      </c>
      <c r="C23" s="2" t="inlineStr">
        <is>
          <t>Tub body</t>
        </is>
      </c>
      <c r="D23" s="2" t="inlineStr">
        <is>
          <t>PL.PP.RIGID</t>
        </is>
      </c>
      <c r="E23" s="2" t="inlineStr">
        <is>
          <t>PP rigid (bottles, caps etc.)</t>
        </is>
      </c>
      <c r="F23" s="2" t="inlineStr">
        <is>
          <t>Plastics &gt; Rigid plastics &gt; PP rigid (bottles, caps etc.)</t>
        </is>
      </c>
      <c r="G23" s="4" t="n">
        <v>14</v>
      </c>
      <c r="H23" s="3" t="n"/>
      <c r="I23" s="2" t="inlineStr">
        <is>
          <t>Plastic</t>
        </is>
      </c>
      <c r="J23" s="2" t="inlineStr">
        <is>
          <t>PP.RIGID</t>
        </is>
      </c>
      <c r="K23" s="5" t="n">
        <v>0.423</v>
      </c>
      <c r="L23" s="6" t="n">
        <v>0.005922</v>
      </c>
      <c r="M23" s="2" t="inlineStr">
        <is>
          <t>Plastic vormvast</t>
        </is>
      </c>
      <c r="N23" s="2" t="inlineStr"/>
      <c r="O23" s="5" t="n">
        <v>1.22</v>
      </c>
      <c r="P23" s="7" t="n">
        <v>0.01708</v>
      </c>
      <c r="Q23" s="2" t="inlineStr">
        <is>
          <t>PP – Bottles, flasks and other rigid packaging</t>
        </is>
      </c>
      <c r="R23" s="2" t="inlineStr">
        <is>
          <t>011-01</t>
        </is>
      </c>
      <c r="S23" s="5" t="n">
        <v>0.8048999999999999</v>
      </c>
      <c r="T23" s="7" t="n">
        <v>0.0112686</v>
      </c>
      <c r="U23" s="2" t="inlineStr">
        <is>
          <t>NL plastic type inferred (rigid vs flexible) from material/component keywords.</t>
        </is>
      </c>
      <c r="V23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24">
      <c r="A24" s="2" t="inlineStr">
        <is>
          <t>PKG0008</t>
        </is>
      </c>
      <c r="B24" s="2" t="inlineStr">
        <is>
          <t>PP yoghurt pot 500 g + foil lid + label</t>
        </is>
      </c>
      <c r="C24" s="2" t="inlineStr">
        <is>
          <t>Lid (foil)</t>
        </is>
      </c>
      <c r="D24" s="2" t="inlineStr">
        <is>
          <t>ME.ALU.THIN</t>
        </is>
      </c>
      <c r="E24" s="2" t="inlineStr">
        <is>
          <t>Aluminium (&lt;50 μm)</t>
        </is>
      </c>
      <c r="F24" s="2" t="inlineStr">
        <is>
          <t>Metals &gt; Aluminium &gt; Aluminium (&lt;50 μm)</t>
        </is>
      </c>
      <c r="G24" s="4" t="n">
        <v>1.5</v>
      </c>
      <c r="H24" s="3" t="n"/>
      <c r="I24" s="2" t="inlineStr">
        <is>
          <t>Aluminium</t>
        </is>
      </c>
      <c r="J24" s="2" t="inlineStr"/>
      <c r="K24" s="5" t="n">
        <v>0.266</v>
      </c>
      <c r="L24" s="6" t="n">
        <v>0.000399</v>
      </c>
      <c r="M24" s="2" t="inlineStr">
        <is>
          <t>Aluminium</t>
        </is>
      </c>
      <c r="N24" s="2" t="inlineStr"/>
      <c r="O24" s="5" t="n">
        <v>0.3</v>
      </c>
      <c r="P24" s="7" t="n">
        <v>0.00045</v>
      </c>
      <c r="Q24" s="2" t="inlineStr">
        <is>
          <t>Aluminium &lt; 50μm (≥ 50% Alu)</t>
        </is>
      </c>
      <c r="R24" s="2" t="inlineStr">
        <is>
          <t>013</t>
        </is>
      </c>
      <c r="S24" s="5" t="n">
        <v>0.0481</v>
      </c>
      <c r="T24" s="7" t="n">
        <v>7.214999999999999e-05</v>
      </c>
      <c r="U24" s="2" t="inlineStr"/>
      <c r="V24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25">
      <c r="A25" s="2" t="inlineStr">
        <is>
          <t>PKG0008</t>
        </is>
      </c>
      <c r="B25" s="2" t="inlineStr">
        <is>
          <t>PP yoghurt pot 500 g + foil lid + label</t>
        </is>
      </c>
      <c r="C25" s="2" t="inlineStr">
        <is>
          <t>Label</t>
        </is>
      </c>
      <c r="D25" s="2" t="inlineStr">
        <is>
          <t>PA.MONO</t>
        </is>
      </c>
      <c r="E25" s="2" t="inlineStr">
        <is>
          <t>Paper/cardboard — mono-material</t>
        </is>
      </c>
      <c r="F25" s="2" t="inlineStr">
        <is>
          <t>Paper &amp; Cardboard &gt; Paper/cardboard — mono-material</t>
        </is>
      </c>
      <c r="G25" s="4" t="n">
        <v>1.2</v>
      </c>
      <c r="H25" s="3" t="n"/>
      <c r="I25" s="2" t="inlineStr">
        <is>
          <t>Paper and card</t>
        </is>
      </c>
      <c r="J25" s="2" t="inlineStr"/>
      <c r="K25" s="5" t="n">
        <v>0.196</v>
      </c>
      <c r="L25" s="6" t="n">
        <v>0.0002352</v>
      </c>
      <c r="M25" s="2" t="inlineStr">
        <is>
          <t>Papier en karton</t>
        </is>
      </c>
      <c r="N25" s="2" t="inlineStr"/>
      <c r="O25" s="5" t="n">
        <v>0.017</v>
      </c>
      <c r="P25" s="7" t="n">
        <v>2.04e-05</v>
      </c>
      <c r="Q25" s="2" t="inlineStr">
        <is>
          <t>Paper-cardboard</t>
        </is>
      </c>
      <c r="R25" s="2" t="inlineStr">
        <is>
          <t>002</t>
        </is>
      </c>
      <c r="S25" s="5" t="n">
        <v>0.1503</v>
      </c>
      <c r="T25" s="7" t="n">
        <v>0.00018036</v>
      </c>
      <c r="U25" s="2" t="inlineStr"/>
      <c r="V25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26">
      <c r="A26" s="2" t="inlineStr">
        <is>
          <t>PKG0009</t>
        </is>
      </c>
      <c r="B26" s="2" t="inlineStr">
        <is>
          <t>PET thermoformed meat tray 500 g + lidding film + absorbent pad</t>
        </is>
      </c>
      <c r="C26" s="2" t="inlineStr">
        <is>
          <t>Tray</t>
        </is>
      </c>
      <c r="D26" s="2" t="inlineStr">
        <is>
          <t>PL.PET.THERMO.OPAQUE</t>
        </is>
      </c>
      <c r="E26" s="2" t="inlineStr">
        <is>
          <t>PET thermoformed — opaque / cPET</t>
        </is>
      </c>
      <c r="F26" s="2" t="inlineStr">
        <is>
          <t>Plastics &gt; Rigid plastics &gt; PET (polyethylene terephthalate) &gt; PET thermoformed — opaque / cPET</t>
        </is>
      </c>
      <c r="G26" s="4" t="n">
        <v>18</v>
      </c>
      <c r="H26" s="3" t="n"/>
      <c r="I26" s="2" t="inlineStr">
        <is>
          <t>Plastic</t>
        </is>
      </c>
      <c r="J26" s="2" t="inlineStr">
        <is>
          <t>PET.THERMO.OPAQUE</t>
        </is>
      </c>
      <c r="K26" s="5" t="n">
        <v>0.423</v>
      </c>
      <c r="L26" s="6" t="n">
        <v>0.007613999999999999</v>
      </c>
      <c r="M26" s="2" t="inlineStr">
        <is>
          <t>Plastic flexibel/ niet gespecificeerd</t>
        </is>
      </c>
      <c r="N26" s="2" t="inlineStr"/>
      <c r="O26" s="5" t="n">
        <v>1.32</v>
      </c>
      <c r="P26" s="7" t="n">
        <v>0.02376</v>
      </c>
      <c r="Q26" s="2" t="inlineStr">
        <is>
          <t>PET – Hard packaging elements other than bottles and flasks - Opaque</t>
        </is>
      </c>
      <c r="R26" s="2" t="inlineStr">
        <is>
          <t>011-08</t>
        </is>
      </c>
      <c r="S26" s="5" t="n">
        <v>1.7609</v>
      </c>
      <c r="T26" s="7" t="n">
        <v>0.03169619999999999</v>
      </c>
      <c r="U26" s="2" t="inlineStr">
        <is>
          <t>NL plastic type inferred (rigid vs flexible) from material/component keywords.</t>
        </is>
      </c>
      <c r="V26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27">
      <c r="A27" s="2" t="inlineStr">
        <is>
          <t>PKG0009</t>
        </is>
      </c>
      <c r="B27" s="2" t="inlineStr">
        <is>
          <t>PET thermoformed meat tray 500 g + lidding film + absorbent pad</t>
        </is>
      </c>
      <c r="C27" s="2" t="inlineStr">
        <is>
          <t>Lidding film</t>
        </is>
      </c>
      <c r="D27" s="2" t="inlineStr">
        <is>
          <t>PL.PE.FILM</t>
        </is>
      </c>
      <c r="E27" s="2" t="inlineStr">
        <is>
          <t>PE films</t>
        </is>
      </c>
      <c r="F27" s="2" t="inlineStr">
        <is>
          <t>Plastics &gt; Flexible plastics (films) &gt; PE films</t>
        </is>
      </c>
      <c r="G27" s="4" t="n">
        <v>2</v>
      </c>
      <c r="H27" s="3" t="n"/>
      <c r="I27" s="2" t="inlineStr">
        <is>
          <t>Plastic</t>
        </is>
      </c>
      <c r="J27" s="2" t="inlineStr">
        <is>
          <t>PE.FILM</t>
        </is>
      </c>
      <c r="K27" s="5" t="n">
        <v>0.423</v>
      </c>
      <c r="L27" s="6" t="n">
        <v>0.000846</v>
      </c>
      <c r="M27" s="2" t="inlineStr">
        <is>
          <t>Plastic flexibel/ niet gespecificeerd</t>
        </is>
      </c>
      <c r="N27" s="2" t="inlineStr"/>
      <c r="O27" s="5" t="n">
        <v>1.32</v>
      </c>
      <c r="P27" s="7" t="n">
        <v>0.00264</v>
      </c>
      <c r="Q27" s="2" t="inlineStr">
        <is>
          <t>PE – Films</t>
        </is>
      </c>
      <c r="R27" s="2" t="inlineStr">
        <is>
          <t>011-07</t>
        </is>
      </c>
      <c r="S27" s="5" t="n">
        <v>1.2844</v>
      </c>
      <c r="T27" s="7" t="n">
        <v>0.0025688</v>
      </c>
      <c r="U27" s="2" t="inlineStr">
        <is>
          <t>NL plastic type inferred (rigid vs flexible) from material/component keywords.</t>
        </is>
      </c>
      <c r="V27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28">
      <c r="A28" s="2" t="inlineStr">
        <is>
          <t>PKG0009</t>
        </is>
      </c>
      <c r="B28" s="2" t="inlineStr">
        <is>
          <t>PET thermoformed meat tray 500 g + lidding film + absorbent pad</t>
        </is>
      </c>
      <c r="C28" s="2" t="inlineStr">
        <is>
          <t>Absorbent pad</t>
        </is>
      </c>
      <c r="D28" s="2" t="inlineStr">
        <is>
          <t>PA.MONO</t>
        </is>
      </c>
      <c r="E28" s="2" t="inlineStr">
        <is>
          <t>Paper/cardboard — mono-material</t>
        </is>
      </c>
      <c r="F28" s="2" t="inlineStr">
        <is>
          <t>Paper &amp; Cardboard &gt; Paper/cardboard — mono-material</t>
        </is>
      </c>
      <c r="G28" s="4" t="n">
        <v>1.5</v>
      </c>
      <c r="H28" s="3" t="n"/>
      <c r="I28" s="2" t="inlineStr">
        <is>
          <t>Paper and card</t>
        </is>
      </c>
      <c r="J28" s="2" t="inlineStr"/>
      <c r="K28" s="5" t="n">
        <v>0.196</v>
      </c>
      <c r="L28" s="6" t="n">
        <v>0.000294</v>
      </c>
      <c r="M28" s="2" t="inlineStr">
        <is>
          <t>Papier en karton</t>
        </is>
      </c>
      <c r="N28" s="2" t="inlineStr"/>
      <c r="O28" s="5" t="n">
        <v>0.017</v>
      </c>
      <c r="P28" s="7" t="n">
        <v>2.55e-05</v>
      </c>
      <c r="Q28" s="2" t="inlineStr">
        <is>
          <t>Paper-cardboard</t>
        </is>
      </c>
      <c r="R28" s="2" t="inlineStr">
        <is>
          <t>002</t>
        </is>
      </c>
      <c r="S28" s="5" t="n">
        <v>0.1503</v>
      </c>
      <c r="T28" s="7" t="n">
        <v>0.00022545</v>
      </c>
      <c r="U28" s="2" t="inlineStr"/>
      <c r="V28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29">
      <c r="A29" s="2" t="inlineStr">
        <is>
          <t>PKG0010</t>
        </is>
      </c>
      <c r="B29" s="2" t="inlineStr">
        <is>
          <t>EPS foam tray (meat) + overwrap film</t>
        </is>
      </c>
      <c r="C29" s="2" t="inlineStr">
        <is>
          <t>Tray</t>
        </is>
      </c>
      <c r="D29" s="2" t="inlineStr">
        <is>
          <t>PL.PS.EPS</t>
        </is>
      </c>
      <c r="E29" s="2" t="inlineStr">
        <is>
          <t>EPS (expanded polystyrene)</t>
        </is>
      </c>
      <c r="F29" s="2" t="inlineStr">
        <is>
          <t>Plastics &gt; Rigid plastics &gt; EPS (expanded polystyrene)</t>
        </is>
      </c>
      <c r="G29" s="4" t="n">
        <v>6</v>
      </c>
      <c r="H29" s="3" t="n"/>
      <c r="I29" s="2" t="inlineStr">
        <is>
          <t>Plastic</t>
        </is>
      </c>
      <c r="J29" s="2" t="inlineStr">
        <is>
          <t>PS.EPS</t>
        </is>
      </c>
      <c r="K29" s="5" t="n">
        <v>0.423</v>
      </c>
      <c r="L29" s="6" t="n">
        <v>0.002538</v>
      </c>
      <c r="M29" s="2" t="inlineStr">
        <is>
          <t>Plastic flexibel/ niet gespecificeerd</t>
        </is>
      </c>
      <c r="N29" s="2" t="inlineStr"/>
      <c r="O29" s="5" t="n">
        <v>1.32</v>
      </c>
      <c r="P29" s="7" t="n">
        <v>0.00792</v>
      </c>
      <c r="Q29" s="2" t="inlineStr">
        <is>
          <t>EPS</t>
        </is>
      </c>
      <c r="R29" s="2" t="inlineStr">
        <is>
          <t>014-01</t>
        </is>
      </c>
      <c r="S29" s="5" t="n">
        <v>0.5855</v>
      </c>
      <c r="T29" s="7" t="n">
        <v>0.003513</v>
      </c>
      <c r="U29" s="2" t="inlineStr">
        <is>
          <t>NL plastic type inferred (rigid vs flexible) from material/component keywords.</t>
        </is>
      </c>
      <c r="V29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30">
      <c r="A30" s="2" t="inlineStr">
        <is>
          <t>PKG0010</t>
        </is>
      </c>
      <c r="B30" s="2" t="inlineStr">
        <is>
          <t>EPS foam tray (meat) + overwrap film</t>
        </is>
      </c>
      <c r="C30" s="2" t="inlineStr">
        <is>
          <t>Overwrap film</t>
        </is>
      </c>
      <c r="D30" s="2" t="inlineStr">
        <is>
          <t>PL.PE.FILM</t>
        </is>
      </c>
      <c r="E30" s="2" t="inlineStr">
        <is>
          <t>PE films</t>
        </is>
      </c>
      <c r="F30" s="2" t="inlineStr">
        <is>
          <t>Plastics &gt; Flexible plastics (films) &gt; PE films</t>
        </is>
      </c>
      <c r="G30" s="4" t="n">
        <v>1.5</v>
      </c>
      <c r="H30" s="3" t="n"/>
      <c r="I30" s="2" t="inlineStr">
        <is>
          <t>Plastic</t>
        </is>
      </c>
      <c r="J30" s="2" t="inlineStr">
        <is>
          <t>PE.FILM</t>
        </is>
      </c>
      <c r="K30" s="5" t="n">
        <v>0.423</v>
      </c>
      <c r="L30" s="6" t="n">
        <v>0.0006345</v>
      </c>
      <c r="M30" s="2" t="inlineStr">
        <is>
          <t>Plastic flexibel/ niet gespecificeerd</t>
        </is>
      </c>
      <c r="N30" s="2" t="inlineStr"/>
      <c r="O30" s="5" t="n">
        <v>1.32</v>
      </c>
      <c r="P30" s="7" t="n">
        <v>0.00198</v>
      </c>
      <c r="Q30" s="2" t="inlineStr">
        <is>
          <t>PE – Films</t>
        </is>
      </c>
      <c r="R30" s="2" t="inlineStr">
        <is>
          <t>011-07</t>
        </is>
      </c>
      <c r="S30" s="5" t="n">
        <v>1.2844</v>
      </c>
      <c r="T30" s="7" t="n">
        <v>0.0019266</v>
      </c>
      <c r="U30" s="2" t="inlineStr">
        <is>
          <t>NL plastic type inferred (rigid vs flexible) from material/component keywords.</t>
        </is>
      </c>
      <c r="V30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31">
      <c r="A31" s="2" t="inlineStr">
        <is>
          <t>PKG0011</t>
        </is>
      </c>
      <c r="B31" s="2" t="inlineStr">
        <is>
          <t>Glass beer bottle 330 mL (amber) + crown cap + label</t>
        </is>
      </c>
      <c r="C31" s="2" t="inlineStr">
        <is>
          <t>Bottle body</t>
        </is>
      </c>
      <c r="D31" s="2" t="inlineStr">
        <is>
          <t>GL.BOTTLES_JARS</t>
        </is>
      </c>
      <c r="E31" s="2" t="inlineStr">
        <is>
          <t>Glass bottles, flasks &amp; jars</t>
        </is>
      </c>
      <c r="F31" s="2" t="inlineStr">
        <is>
          <t>Glass &gt; Glass bottles, flasks &amp; jars</t>
        </is>
      </c>
      <c r="G31" s="4" t="n">
        <v>200</v>
      </c>
      <c r="H31" s="3" t="n"/>
      <c r="I31" s="2" t="inlineStr">
        <is>
          <t>Glass</t>
        </is>
      </c>
      <c r="J31" s="2" t="inlineStr"/>
      <c r="K31" s="5" t="n">
        <v>0.192</v>
      </c>
      <c r="L31" s="6" t="n">
        <v>0.0384</v>
      </c>
      <c r="M31" s="2" t="inlineStr">
        <is>
          <t>Glas</t>
        </is>
      </c>
      <c r="N31" s="2" t="inlineStr"/>
      <c r="O31" s="5" t="n">
        <v>0.1</v>
      </c>
      <c r="P31" s="7" t="n">
        <v>0.02</v>
      </c>
      <c r="Q31" s="2" t="inlineStr">
        <is>
          <t>Glass</t>
        </is>
      </c>
      <c r="R31" s="2" t="inlineStr">
        <is>
          <t>001</t>
        </is>
      </c>
      <c r="S31" s="5" t="n">
        <v>0.096</v>
      </c>
      <c r="T31" s="7" t="n">
        <v>0.0192</v>
      </c>
      <c r="U31" s="2" t="inlineStr"/>
      <c r="V31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32">
      <c r="A32" s="2" t="inlineStr">
        <is>
          <t>PKG0011</t>
        </is>
      </c>
      <c r="B32" s="2" t="inlineStr">
        <is>
          <t>Glass beer bottle 330 mL (amber) + crown cap + label</t>
        </is>
      </c>
      <c r="C32" s="2" t="inlineStr">
        <is>
          <t>Crown cap</t>
        </is>
      </c>
      <c r="D32" s="2" t="inlineStr">
        <is>
          <t>ME.STEEL</t>
        </is>
      </c>
      <c r="E32" s="2" t="inlineStr">
        <is>
          <t>Steel / ferrous metal</t>
        </is>
      </c>
      <c r="F32" s="2" t="inlineStr">
        <is>
          <t>Metals &gt; Steel / ferrous metal</t>
        </is>
      </c>
      <c r="G32" s="4" t="n">
        <v>3</v>
      </c>
      <c r="H32" s="3" t="n"/>
      <c r="I32" s="2" t="inlineStr">
        <is>
          <t>Steel</t>
        </is>
      </c>
      <c r="J32" s="2" t="inlineStr"/>
      <c r="K32" s="5" t="n">
        <v>0.259</v>
      </c>
      <c r="L32" s="6" t="n">
        <v>0.000777</v>
      </c>
      <c r="M32" s="2" t="inlineStr">
        <is>
          <t>Overige metalen</t>
        </is>
      </c>
      <c r="N32" s="2" t="inlineStr"/>
      <c r="O32" s="5" t="n">
        <v>0.36</v>
      </c>
      <c r="P32" s="7" t="n">
        <v>0.00108</v>
      </c>
      <c r="Q32" s="2" t="inlineStr">
        <is>
          <t>Steel</t>
        </is>
      </c>
      <c r="R32" s="2" t="inlineStr">
        <is>
          <t>003</t>
        </is>
      </c>
      <c r="S32" s="5" t="n">
        <v>0.1117</v>
      </c>
      <c r="T32" s="7" t="n">
        <v>0.0003351</v>
      </c>
      <c r="U32" s="2" t="inlineStr"/>
      <c r="V32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33">
      <c r="A33" s="2" t="inlineStr">
        <is>
          <t>PKG0011</t>
        </is>
      </c>
      <c r="B33" s="2" t="inlineStr">
        <is>
          <t>Glass beer bottle 330 mL (amber) + crown cap + label</t>
        </is>
      </c>
      <c r="C33" s="2" t="inlineStr">
        <is>
          <t>Label</t>
        </is>
      </c>
      <c r="D33" s="2" t="inlineStr">
        <is>
          <t>PA.MONO</t>
        </is>
      </c>
      <c r="E33" s="2" t="inlineStr">
        <is>
          <t>Paper/cardboard — mono-material</t>
        </is>
      </c>
      <c r="F33" s="2" t="inlineStr">
        <is>
          <t>Paper &amp; Cardboard &gt; Paper/cardboard — mono-material</t>
        </is>
      </c>
      <c r="G33" s="4" t="n">
        <v>1.2</v>
      </c>
      <c r="H33" s="3" t="n"/>
      <c r="I33" s="2" t="inlineStr">
        <is>
          <t>Paper and card</t>
        </is>
      </c>
      <c r="J33" s="2" t="inlineStr"/>
      <c r="K33" s="5" t="n">
        <v>0.196</v>
      </c>
      <c r="L33" s="6" t="n">
        <v>0.0002352</v>
      </c>
      <c r="M33" s="2" t="inlineStr">
        <is>
          <t>Papier en karton</t>
        </is>
      </c>
      <c r="N33" s="2" t="inlineStr"/>
      <c r="O33" s="5" t="n">
        <v>0.017</v>
      </c>
      <c r="P33" s="7" t="n">
        <v>2.04e-05</v>
      </c>
      <c r="Q33" s="2" t="inlineStr">
        <is>
          <t>Paper-cardboard</t>
        </is>
      </c>
      <c r="R33" s="2" t="inlineStr">
        <is>
          <t>002</t>
        </is>
      </c>
      <c r="S33" s="5" t="n">
        <v>0.1503</v>
      </c>
      <c r="T33" s="7" t="n">
        <v>0.00018036</v>
      </c>
      <c r="U33" s="2" t="inlineStr"/>
      <c r="V33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34">
      <c r="A34" s="2" t="inlineStr">
        <is>
          <t>PKG0012</t>
        </is>
      </c>
      <c r="B34" s="2" t="inlineStr">
        <is>
          <t>Glass beverage bottle 375 mL (amber) + cap + label</t>
        </is>
      </c>
      <c r="C34" s="2" t="inlineStr">
        <is>
          <t>Bottle body</t>
        </is>
      </c>
      <c r="D34" s="2" t="inlineStr">
        <is>
          <t>GL.BOTTLES_JARS</t>
        </is>
      </c>
      <c r="E34" s="2" t="inlineStr">
        <is>
          <t>Glass bottles, flasks &amp; jars</t>
        </is>
      </c>
      <c r="F34" s="2" t="inlineStr">
        <is>
          <t>Glass &gt; Glass bottles, flasks &amp; jars</t>
        </is>
      </c>
      <c r="G34" s="4" t="n">
        <v>195</v>
      </c>
      <c r="H34" s="3" t="n"/>
      <c r="I34" s="2" t="inlineStr">
        <is>
          <t>Glass</t>
        </is>
      </c>
      <c r="J34" s="2" t="inlineStr"/>
      <c r="K34" s="5" t="n">
        <v>0.192</v>
      </c>
      <c r="L34" s="6" t="n">
        <v>0.03744</v>
      </c>
      <c r="M34" s="2" t="inlineStr">
        <is>
          <t>Glas</t>
        </is>
      </c>
      <c r="N34" s="2" t="inlineStr"/>
      <c r="O34" s="5" t="n">
        <v>0.1</v>
      </c>
      <c r="P34" s="7" t="n">
        <v>0.0195</v>
      </c>
      <c r="Q34" s="2" t="inlineStr">
        <is>
          <t>Glass</t>
        </is>
      </c>
      <c r="R34" s="2" t="inlineStr">
        <is>
          <t>001</t>
        </is>
      </c>
      <c r="S34" s="5" t="n">
        <v>0.096</v>
      </c>
      <c r="T34" s="7" t="n">
        <v>0.01872</v>
      </c>
      <c r="U34" s="2" t="inlineStr"/>
      <c r="V34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35">
      <c r="A35" s="2" t="inlineStr">
        <is>
          <t>PKG0012</t>
        </is>
      </c>
      <c r="B35" s="2" t="inlineStr">
        <is>
          <t>Glass beverage bottle 375 mL (amber) + cap + label</t>
        </is>
      </c>
      <c r="C35" s="2" t="inlineStr">
        <is>
          <t>Cap</t>
        </is>
      </c>
      <c r="D35" s="2" t="inlineStr">
        <is>
          <t>ME.ALU.THIN</t>
        </is>
      </c>
      <c r="E35" s="2" t="inlineStr">
        <is>
          <t>Aluminium (&lt;50 μm)</t>
        </is>
      </c>
      <c r="F35" s="2" t="inlineStr">
        <is>
          <t>Metals &gt; Aluminium &gt; Aluminium (&lt;50 μm)</t>
        </is>
      </c>
      <c r="G35" s="4" t="n">
        <v>2.5</v>
      </c>
      <c r="H35" s="3" t="n"/>
      <c r="I35" s="2" t="inlineStr">
        <is>
          <t>Aluminium</t>
        </is>
      </c>
      <c r="J35" s="2" t="inlineStr"/>
      <c r="K35" s="5" t="n">
        <v>0.266</v>
      </c>
      <c r="L35" s="6" t="n">
        <v>0.000665</v>
      </c>
      <c r="M35" s="2" t="inlineStr">
        <is>
          <t>Aluminium</t>
        </is>
      </c>
      <c r="N35" s="2" t="inlineStr"/>
      <c r="O35" s="5" t="n">
        <v>0.3</v>
      </c>
      <c r="P35" s="7" t="n">
        <v>0.00075</v>
      </c>
      <c r="Q35" s="2" t="inlineStr">
        <is>
          <t>Aluminium &lt; 50μm (≥ 50% Alu)</t>
        </is>
      </c>
      <c r="R35" s="2" t="inlineStr">
        <is>
          <t>013</t>
        </is>
      </c>
      <c r="S35" s="5" t="n">
        <v>0.0481</v>
      </c>
      <c r="T35" s="7" t="n">
        <v>0.00012025</v>
      </c>
      <c r="U35" s="2" t="inlineStr"/>
      <c r="V35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36">
      <c r="A36" s="2" t="inlineStr">
        <is>
          <t>PKG0012</t>
        </is>
      </c>
      <c r="B36" s="2" t="inlineStr">
        <is>
          <t>Glass beverage bottle 375 mL (amber) + cap + label</t>
        </is>
      </c>
      <c r="C36" s="2" t="inlineStr">
        <is>
          <t>Label</t>
        </is>
      </c>
      <c r="D36" s="2" t="inlineStr">
        <is>
          <t>PA.MONO</t>
        </is>
      </c>
      <c r="E36" s="2" t="inlineStr">
        <is>
          <t>Paper/cardboard — mono-material</t>
        </is>
      </c>
      <c r="F36" s="2" t="inlineStr">
        <is>
          <t>Paper &amp; Cardboard &gt; Paper/cardboard — mono-material</t>
        </is>
      </c>
      <c r="G36" s="4" t="n">
        <v>1.2</v>
      </c>
      <c r="H36" s="3" t="n"/>
      <c r="I36" s="2" t="inlineStr">
        <is>
          <t>Paper and card</t>
        </is>
      </c>
      <c r="J36" s="2" t="inlineStr"/>
      <c r="K36" s="5" t="n">
        <v>0.196</v>
      </c>
      <c r="L36" s="6" t="n">
        <v>0.0002352</v>
      </c>
      <c r="M36" s="2" t="inlineStr">
        <is>
          <t>Papier en karton</t>
        </is>
      </c>
      <c r="N36" s="2" t="inlineStr"/>
      <c r="O36" s="5" t="n">
        <v>0.017</v>
      </c>
      <c r="P36" s="7" t="n">
        <v>2.04e-05</v>
      </c>
      <c r="Q36" s="2" t="inlineStr">
        <is>
          <t>Paper-cardboard</t>
        </is>
      </c>
      <c r="R36" s="2" t="inlineStr">
        <is>
          <t>002</t>
        </is>
      </c>
      <c r="S36" s="5" t="n">
        <v>0.1503</v>
      </c>
      <c r="T36" s="7" t="n">
        <v>0.00018036</v>
      </c>
      <c r="U36" s="2" t="inlineStr"/>
      <c r="V36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37">
      <c r="A37" s="2" t="inlineStr">
        <is>
          <t>PKG0013</t>
        </is>
      </c>
      <c r="B37" s="2" t="inlineStr">
        <is>
          <t>Glass wine bottle 750 mL + cork + capsule + label</t>
        </is>
      </c>
      <c r="C37" s="2" t="inlineStr">
        <is>
          <t>Bottle body</t>
        </is>
      </c>
      <c r="D37" s="2" t="inlineStr">
        <is>
          <t>GL.BOTTLES_JARS</t>
        </is>
      </c>
      <c r="E37" s="2" t="inlineStr">
        <is>
          <t>Glass bottles, flasks &amp; jars</t>
        </is>
      </c>
      <c r="F37" s="2" t="inlineStr">
        <is>
          <t>Glass &gt; Glass bottles, flasks &amp; jars</t>
        </is>
      </c>
      <c r="G37" s="4" t="n">
        <v>500</v>
      </c>
      <c r="H37" s="3" t="n"/>
      <c r="I37" s="2" t="inlineStr">
        <is>
          <t>Glass</t>
        </is>
      </c>
      <c r="J37" s="2" t="inlineStr"/>
      <c r="K37" s="5" t="n">
        <v>0.192</v>
      </c>
      <c r="L37" s="6" t="n">
        <v>0.096</v>
      </c>
      <c r="M37" s="2" t="inlineStr">
        <is>
          <t>Glas</t>
        </is>
      </c>
      <c r="N37" s="2" t="inlineStr"/>
      <c r="O37" s="5" t="n">
        <v>0.1</v>
      </c>
      <c r="P37" s="7" t="n">
        <v>0.05</v>
      </c>
      <c r="Q37" s="2" t="inlineStr">
        <is>
          <t>Glass</t>
        </is>
      </c>
      <c r="R37" s="2" t="inlineStr">
        <is>
          <t>001</t>
        </is>
      </c>
      <c r="S37" s="5" t="n">
        <v>0.096</v>
      </c>
      <c r="T37" s="7" t="n">
        <v>0.048</v>
      </c>
      <c r="U37" s="2" t="inlineStr"/>
      <c r="V37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38">
      <c r="A38" s="2" t="inlineStr">
        <is>
          <t>PKG0013</t>
        </is>
      </c>
      <c r="B38" s="2" t="inlineStr">
        <is>
          <t>Glass wine bottle 750 mL + cork + capsule + label</t>
        </is>
      </c>
      <c r="C38" s="2" t="inlineStr">
        <is>
          <t>Cork</t>
        </is>
      </c>
      <c r="D38" s="2" t="inlineStr">
        <is>
          <t>OT.CORK</t>
        </is>
      </c>
      <c r="E38" s="2" t="inlineStr">
        <is>
          <t>Cork</t>
        </is>
      </c>
      <c r="F38" s="2" t="inlineStr">
        <is>
          <t>Other &gt; Cork</t>
        </is>
      </c>
      <c r="G38" s="4" t="n">
        <v>4</v>
      </c>
      <c r="H38" s="3" t="n"/>
      <c r="I38" s="2" t="inlineStr">
        <is>
          <t>Other</t>
        </is>
      </c>
      <c r="J38" s="2" t="inlineStr"/>
      <c r="K38" s="5" t="n">
        <v>0.259</v>
      </c>
      <c r="L38" s="6" t="n">
        <v>0.001036</v>
      </c>
      <c r="M38" s="2" t="inlineStr">
        <is>
          <t>Andere materiaalsoorten</t>
        </is>
      </c>
      <c r="N38" s="2" t="inlineStr"/>
      <c r="O38" s="5" t="n">
        <v>0.015</v>
      </c>
      <c r="P38" s="7" t="n">
        <v>6e-05</v>
      </c>
      <c r="Q38" s="2" t="inlineStr">
        <is>
          <t>Cork</t>
        </is>
      </c>
      <c r="R38" s="2" t="inlineStr">
        <is>
          <t>016-02</t>
        </is>
      </c>
      <c r="S38" s="5" t="n">
        <v>0.5855</v>
      </c>
      <c r="T38" s="7" t="n">
        <v>0.002342</v>
      </c>
      <c r="U38" s="2" t="inlineStr"/>
      <c r="V38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39">
      <c r="A39" s="2" t="inlineStr">
        <is>
          <t>PKG0013</t>
        </is>
      </c>
      <c r="B39" s="2" t="inlineStr">
        <is>
          <t>Glass wine bottle 750 mL + cork + capsule + label</t>
        </is>
      </c>
      <c r="C39" s="2" t="inlineStr">
        <is>
          <t>Capsule</t>
        </is>
      </c>
      <c r="D39" s="2" t="inlineStr">
        <is>
          <t>ME.ALU.THIN</t>
        </is>
      </c>
      <c r="E39" s="2" t="inlineStr">
        <is>
          <t>Aluminium (&lt;50 μm)</t>
        </is>
      </c>
      <c r="F39" s="2" t="inlineStr">
        <is>
          <t>Metals &gt; Aluminium &gt; Aluminium (&lt;50 μm)</t>
        </is>
      </c>
      <c r="G39" s="4" t="n">
        <v>1.5</v>
      </c>
      <c r="H39" s="3" t="n"/>
      <c r="I39" s="2" t="inlineStr">
        <is>
          <t>Aluminium</t>
        </is>
      </c>
      <c r="J39" s="2" t="inlineStr"/>
      <c r="K39" s="5" t="n">
        <v>0.266</v>
      </c>
      <c r="L39" s="6" t="n">
        <v>0.000399</v>
      </c>
      <c r="M39" s="2" t="inlineStr">
        <is>
          <t>Aluminium</t>
        </is>
      </c>
      <c r="N39" s="2" t="inlineStr"/>
      <c r="O39" s="5" t="n">
        <v>0.3</v>
      </c>
      <c r="P39" s="7" t="n">
        <v>0.00045</v>
      </c>
      <c r="Q39" s="2" t="inlineStr">
        <is>
          <t>Aluminium &lt; 50μm (≥ 50% Alu)</t>
        </is>
      </c>
      <c r="R39" s="2" t="inlineStr">
        <is>
          <t>013</t>
        </is>
      </c>
      <c r="S39" s="5" t="n">
        <v>0.0481</v>
      </c>
      <c r="T39" s="7" t="n">
        <v>7.214999999999999e-05</v>
      </c>
      <c r="U39" s="2" t="inlineStr"/>
      <c r="V39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40">
      <c r="A40" s="2" t="inlineStr">
        <is>
          <t>PKG0013</t>
        </is>
      </c>
      <c r="B40" s="2" t="inlineStr">
        <is>
          <t>Glass wine bottle 750 mL + cork + capsule + label</t>
        </is>
      </c>
      <c r="C40" s="2" t="inlineStr">
        <is>
          <t>Label</t>
        </is>
      </c>
      <c r="D40" s="2" t="inlineStr">
        <is>
          <t>PA.MONO</t>
        </is>
      </c>
      <c r="E40" s="2" t="inlineStr">
        <is>
          <t>Paper/cardboard — mono-material</t>
        </is>
      </c>
      <c r="F40" s="2" t="inlineStr">
        <is>
          <t>Paper &amp; Cardboard &gt; Paper/cardboard — mono-material</t>
        </is>
      </c>
      <c r="G40" s="4" t="n">
        <v>1.5</v>
      </c>
      <c r="H40" s="3" t="n"/>
      <c r="I40" s="2" t="inlineStr">
        <is>
          <t>Paper and card</t>
        </is>
      </c>
      <c r="J40" s="2" t="inlineStr"/>
      <c r="K40" s="5" t="n">
        <v>0.196</v>
      </c>
      <c r="L40" s="6" t="n">
        <v>0.000294</v>
      </c>
      <c r="M40" s="2" t="inlineStr">
        <is>
          <t>Papier en karton</t>
        </is>
      </c>
      <c r="N40" s="2" t="inlineStr"/>
      <c r="O40" s="5" t="n">
        <v>0.017</v>
      </c>
      <c r="P40" s="7" t="n">
        <v>2.55e-05</v>
      </c>
      <c r="Q40" s="2" t="inlineStr">
        <is>
          <t>Paper-cardboard</t>
        </is>
      </c>
      <c r="R40" s="2" t="inlineStr">
        <is>
          <t>002</t>
        </is>
      </c>
      <c r="S40" s="5" t="n">
        <v>0.1503</v>
      </c>
      <c r="T40" s="7" t="n">
        <v>0.00022545</v>
      </c>
      <c r="U40" s="2" t="inlineStr"/>
      <c r="V40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41">
      <c r="A41" s="2" t="inlineStr">
        <is>
          <t>PKG0014</t>
        </is>
      </c>
      <c r="B41" s="2" t="inlineStr">
        <is>
          <t>Glass jar 370 mL (flint) + twist-off lid + label</t>
        </is>
      </c>
      <c r="C41" s="2" t="inlineStr">
        <is>
          <t>Jar body</t>
        </is>
      </c>
      <c r="D41" s="2" t="inlineStr">
        <is>
          <t>GL.BOTTLES_JARS</t>
        </is>
      </c>
      <c r="E41" s="2" t="inlineStr">
        <is>
          <t>Glass bottles, flasks &amp; jars</t>
        </is>
      </c>
      <c r="F41" s="2" t="inlineStr">
        <is>
          <t>Glass &gt; Glass bottles, flasks &amp; jars</t>
        </is>
      </c>
      <c r="G41" s="4" t="n">
        <v>195</v>
      </c>
      <c r="H41" s="3" t="n"/>
      <c r="I41" s="2" t="inlineStr">
        <is>
          <t>Glass</t>
        </is>
      </c>
      <c r="J41" s="2" t="inlineStr"/>
      <c r="K41" s="5" t="n">
        <v>0.192</v>
      </c>
      <c r="L41" s="6" t="n">
        <v>0.03744</v>
      </c>
      <c r="M41" s="2" t="inlineStr">
        <is>
          <t>Glas</t>
        </is>
      </c>
      <c r="N41" s="2" t="inlineStr"/>
      <c r="O41" s="5" t="n">
        <v>0.1</v>
      </c>
      <c r="P41" s="7" t="n">
        <v>0.0195</v>
      </c>
      <c r="Q41" s="2" t="inlineStr">
        <is>
          <t>Glass</t>
        </is>
      </c>
      <c r="R41" s="2" t="inlineStr">
        <is>
          <t>001</t>
        </is>
      </c>
      <c r="S41" s="5" t="n">
        <v>0.096</v>
      </c>
      <c r="T41" s="7" t="n">
        <v>0.01872</v>
      </c>
      <c r="U41" s="2" t="inlineStr"/>
      <c r="V41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42">
      <c r="A42" s="2" t="inlineStr">
        <is>
          <t>PKG0014</t>
        </is>
      </c>
      <c r="B42" s="2" t="inlineStr">
        <is>
          <t>Glass jar 370 mL (flint) + twist-off lid + label</t>
        </is>
      </c>
      <c r="C42" s="2" t="inlineStr">
        <is>
          <t>Twist-off lid</t>
        </is>
      </c>
      <c r="D42" s="2" t="inlineStr">
        <is>
          <t>ME.STEEL</t>
        </is>
      </c>
      <c r="E42" s="2" t="inlineStr">
        <is>
          <t>Steel / ferrous metal</t>
        </is>
      </c>
      <c r="F42" s="2" t="inlineStr">
        <is>
          <t>Metals &gt; Steel / ferrous metal</t>
        </is>
      </c>
      <c r="G42" s="4" t="n">
        <v>10</v>
      </c>
      <c r="H42" s="3" t="n"/>
      <c r="I42" s="2" t="inlineStr">
        <is>
          <t>Steel</t>
        </is>
      </c>
      <c r="J42" s="2" t="inlineStr"/>
      <c r="K42" s="5" t="n">
        <v>0.259</v>
      </c>
      <c r="L42" s="6" t="n">
        <v>0.00259</v>
      </c>
      <c r="M42" s="2" t="inlineStr">
        <is>
          <t>Overige metalen</t>
        </is>
      </c>
      <c r="N42" s="2" t="inlineStr"/>
      <c r="O42" s="5" t="n">
        <v>0.36</v>
      </c>
      <c r="P42" s="7" t="n">
        <v>0.0036</v>
      </c>
      <c r="Q42" s="2" t="inlineStr">
        <is>
          <t>Steel</t>
        </is>
      </c>
      <c r="R42" s="2" t="inlineStr">
        <is>
          <t>003</t>
        </is>
      </c>
      <c r="S42" s="5" t="n">
        <v>0.1117</v>
      </c>
      <c r="T42" s="7" t="n">
        <v>0.001117</v>
      </c>
      <c r="U42" s="2" t="inlineStr"/>
      <c r="V42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43">
      <c r="A43" s="2" t="inlineStr">
        <is>
          <t>PKG0014</t>
        </is>
      </c>
      <c r="B43" s="2" t="inlineStr">
        <is>
          <t>Glass jar 370 mL (flint) + twist-off lid + label</t>
        </is>
      </c>
      <c r="C43" s="2" t="inlineStr">
        <is>
          <t>Label</t>
        </is>
      </c>
      <c r="D43" s="2" t="inlineStr">
        <is>
          <t>PA.MONO</t>
        </is>
      </c>
      <c r="E43" s="2" t="inlineStr">
        <is>
          <t>Paper/cardboard — mono-material</t>
        </is>
      </c>
      <c r="F43" s="2" t="inlineStr">
        <is>
          <t>Paper &amp; Cardboard &gt; Paper/cardboard — mono-material</t>
        </is>
      </c>
      <c r="G43" s="4" t="n">
        <v>1</v>
      </c>
      <c r="H43" s="3" t="n"/>
      <c r="I43" s="2" t="inlineStr">
        <is>
          <t>Paper and card</t>
        </is>
      </c>
      <c r="J43" s="2" t="inlineStr"/>
      <c r="K43" s="5" t="n">
        <v>0.196</v>
      </c>
      <c r="L43" s="6" t="n">
        <v>0.000196</v>
      </c>
      <c r="M43" s="2" t="inlineStr">
        <is>
          <t>Papier en karton</t>
        </is>
      </c>
      <c r="N43" s="2" t="inlineStr"/>
      <c r="O43" s="5" t="n">
        <v>0.017</v>
      </c>
      <c r="P43" s="7" t="n">
        <v>1.7e-05</v>
      </c>
      <c r="Q43" s="2" t="inlineStr">
        <is>
          <t>Paper-cardboard</t>
        </is>
      </c>
      <c r="R43" s="2" t="inlineStr">
        <is>
          <t>002</t>
        </is>
      </c>
      <c r="S43" s="5" t="n">
        <v>0.1503</v>
      </c>
      <c r="T43" s="7" t="n">
        <v>0.0001503</v>
      </c>
      <c r="U43" s="2" t="inlineStr"/>
      <c r="V43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44">
      <c r="A44" s="2" t="inlineStr">
        <is>
          <t>PKG0015</t>
        </is>
      </c>
      <c r="B44" s="2" t="inlineStr">
        <is>
          <t>Glass jar 720 mL + twist-off lid + label</t>
        </is>
      </c>
      <c r="C44" s="2" t="inlineStr">
        <is>
          <t>Jar body</t>
        </is>
      </c>
      <c r="D44" s="2" t="inlineStr">
        <is>
          <t>GL.BOTTLES_JARS</t>
        </is>
      </c>
      <c r="E44" s="2" t="inlineStr">
        <is>
          <t>Glass bottles, flasks &amp; jars</t>
        </is>
      </c>
      <c r="F44" s="2" t="inlineStr">
        <is>
          <t>Glass &gt; Glass bottles, flasks &amp; jars</t>
        </is>
      </c>
      <c r="G44" s="4" t="n">
        <v>320</v>
      </c>
      <c r="H44" s="3" t="n"/>
      <c r="I44" s="2" t="inlineStr">
        <is>
          <t>Glass</t>
        </is>
      </c>
      <c r="J44" s="2" t="inlineStr"/>
      <c r="K44" s="5" t="n">
        <v>0.192</v>
      </c>
      <c r="L44" s="6" t="n">
        <v>0.06144</v>
      </c>
      <c r="M44" s="2" t="inlineStr">
        <is>
          <t>Glas</t>
        </is>
      </c>
      <c r="N44" s="2" t="inlineStr"/>
      <c r="O44" s="5" t="n">
        <v>0.1</v>
      </c>
      <c r="P44" s="7" t="n">
        <v>0.032</v>
      </c>
      <c r="Q44" s="2" t="inlineStr">
        <is>
          <t>Glass</t>
        </is>
      </c>
      <c r="R44" s="2" t="inlineStr">
        <is>
          <t>001</t>
        </is>
      </c>
      <c r="S44" s="5" t="n">
        <v>0.096</v>
      </c>
      <c r="T44" s="7" t="n">
        <v>0.03072</v>
      </c>
      <c r="U44" s="2" t="inlineStr"/>
      <c r="V44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45">
      <c r="A45" s="2" t="inlineStr">
        <is>
          <t>PKG0015</t>
        </is>
      </c>
      <c r="B45" s="2" t="inlineStr">
        <is>
          <t>Glass jar 720 mL + twist-off lid + label</t>
        </is>
      </c>
      <c r="C45" s="2" t="inlineStr">
        <is>
          <t>Twist-off lid</t>
        </is>
      </c>
      <c r="D45" s="2" t="inlineStr">
        <is>
          <t>ME.STEEL</t>
        </is>
      </c>
      <c r="E45" s="2" t="inlineStr">
        <is>
          <t>Steel / ferrous metal</t>
        </is>
      </c>
      <c r="F45" s="2" t="inlineStr">
        <is>
          <t>Metals &gt; Steel / ferrous metal</t>
        </is>
      </c>
      <c r="G45" s="4" t="n">
        <v>14</v>
      </c>
      <c r="H45" s="3" t="n"/>
      <c r="I45" s="2" t="inlineStr">
        <is>
          <t>Steel</t>
        </is>
      </c>
      <c r="J45" s="2" t="inlineStr"/>
      <c r="K45" s="5" t="n">
        <v>0.259</v>
      </c>
      <c r="L45" s="6" t="n">
        <v>0.003626</v>
      </c>
      <c r="M45" s="2" t="inlineStr">
        <is>
          <t>Overige metalen</t>
        </is>
      </c>
      <c r="N45" s="2" t="inlineStr"/>
      <c r="O45" s="5" t="n">
        <v>0.36</v>
      </c>
      <c r="P45" s="7" t="n">
        <v>0.00504</v>
      </c>
      <c r="Q45" s="2" t="inlineStr">
        <is>
          <t>Steel</t>
        </is>
      </c>
      <c r="R45" s="2" t="inlineStr">
        <is>
          <t>003</t>
        </is>
      </c>
      <c r="S45" s="5" t="n">
        <v>0.1117</v>
      </c>
      <c r="T45" s="7" t="n">
        <v>0.0015638</v>
      </c>
      <c r="U45" s="2" t="inlineStr"/>
      <c r="V45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46">
      <c r="A46" s="2" t="inlineStr">
        <is>
          <t>PKG0015</t>
        </is>
      </c>
      <c r="B46" s="2" t="inlineStr">
        <is>
          <t>Glass jar 720 mL + twist-off lid + label</t>
        </is>
      </c>
      <c r="C46" s="2" t="inlineStr">
        <is>
          <t>Label</t>
        </is>
      </c>
      <c r="D46" s="2" t="inlineStr">
        <is>
          <t>PA.MONO</t>
        </is>
      </c>
      <c r="E46" s="2" t="inlineStr">
        <is>
          <t>Paper/cardboard — mono-material</t>
        </is>
      </c>
      <c r="F46" s="2" t="inlineStr">
        <is>
          <t>Paper &amp; Cardboard &gt; Paper/cardboard — mono-material</t>
        </is>
      </c>
      <c r="G46" s="4" t="n">
        <v>1.2</v>
      </c>
      <c r="H46" s="3" t="n"/>
      <c r="I46" s="2" t="inlineStr">
        <is>
          <t>Paper and card</t>
        </is>
      </c>
      <c r="J46" s="2" t="inlineStr"/>
      <c r="K46" s="5" t="n">
        <v>0.196</v>
      </c>
      <c r="L46" s="6" t="n">
        <v>0.0002352</v>
      </c>
      <c r="M46" s="2" t="inlineStr">
        <is>
          <t>Papier en karton</t>
        </is>
      </c>
      <c r="N46" s="2" t="inlineStr"/>
      <c r="O46" s="5" t="n">
        <v>0.017</v>
      </c>
      <c r="P46" s="7" t="n">
        <v>2.04e-05</v>
      </c>
      <c r="Q46" s="2" t="inlineStr">
        <is>
          <t>Paper-cardboard</t>
        </is>
      </c>
      <c r="R46" s="2" t="inlineStr">
        <is>
          <t>002</t>
        </is>
      </c>
      <c r="S46" s="5" t="n">
        <v>0.1503</v>
      </c>
      <c r="T46" s="7" t="n">
        <v>0.00018036</v>
      </c>
      <c r="U46" s="2" t="inlineStr"/>
      <c r="V46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47">
      <c r="A47" s="2" t="inlineStr">
        <is>
          <t>PKG0016</t>
        </is>
      </c>
      <c r="B47" s="2" t="inlineStr">
        <is>
          <t>Aluminium beverage can 330 mL (standard)</t>
        </is>
      </c>
      <c r="C47" s="2" t="inlineStr">
        <is>
          <t>Can (body+end)</t>
        </is>
      </c>
      <c r="D47" s="2" t="inlineStr">
        <is>
          <t>ME.ALU.THICK</t>
        </is>
      </c>
      <c r="E47" s="2" t="inlineStr">
        <is>
          <t>Aluminium (≥50 μm)</t>
        </is>
      </c>
      <c r="F47" s="2" t="inlineStr">
        <is>
          <t>Metals &gt; Aluminium &gt; Aluminium (≥50 μm)</t>
        </is>
      </c>
      <c r="G47" s="4" t="n">
        <v>12.99</v>
      </c>
      <c r="H47" s="3" t="n"/>
      <c r="I47" s="2" t="inlineStr">
        <is>
          <t>Aluminium</t>
        </is>
      </c>
      <c r="J47" s="2" t="inlineStr"/>
      <c r="K47" s="5" t="n">
        <v>0.266</v>
      </c>
      <c r="L47" s="6" t="n">
        <v>0.00345534</v>
      </c>
      <c r="M47" s="2" t="inlineStr">
        <is>
          <t>Aluminium</t>
        </is>
      </c>
      <c r="N47" s="2" t="inlineStr"/>
      <c r="O47" s="5" t="n">
        <v>0.3</v>
      </c>
      <c r="P47" s="7" t="n">
        <v>0.003897</v>
      </c>
      <c r="Q47" s="2" t="inlineStr">
        <is>
          <t>Aluminium ≥ 50μm (≥ 50% Alu)</t>
        </is>
      </c>
      <c r="R47" s="2" t="inlineStr">
        <is>
          <t>004</t>
        </is>
      </c>
      <c r="S47" s="5" t="n">
        <v>0.0481</v>
      </c>
      <c r="T47" s="7" t="n">
        <v>0.000624819</v>
      </c>
      <c r="U47" s="2" t="inlineStr"/>
      <c r="V47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48">
      <c r="A48" s="2" t="inlineStr">
        <is>
          <t>PKG0016</t>
        </is>
      </c>
      <c r="B48" s="2" t="inlineStr">
        <is>
          <t>Aluminium beverage can 330 mL (standard)</t>
        </is>
      </c>
      <c r="C48" s="2" t="inlineStr">
        <is>
          <t>Inks/coatings</t>
        </is>
      </c>
      <c r="D48" s="2" t="inlineStr">
        <is>
          <t>OT.OTHER_PACK</t>
        </is>
      </c>
      <c r="E48" s="2" t="inlineStr">
        <is>
          <t>Packaging of other materials</t>
        </is>
      </c>
      <c r="F48" s="2" t="inlineStr">
        <is>
          <t>Other &gt; Packaging of other materials</t>
        </is>
      </c>
      <c r="G48" s="4" t="n">
        <v>0.2</v>
      </c>
      <c r="H48" s="3" t="n"/>
      <c r="I48" s="2" t="inlineStr">
        <is>
          <t>Other</t>
        </is>
      </c>
      <c r="J48" s="2" t="inlineStr"/>
      <c r="K48" s="5" t="n">
        <v>0.259</v>
      </c>
      <c r="L48" s="6" t="n">
        <v>5.180000000000001e-05</v>
      </c>
      <c r="M48" s="2" t="inlineStr">
        <is>
          <t>Andere materiaalsoorten</t>
        </is>
      </c>
      <c r="N48" s="2" t="inlineStr"/>
      <c r="O48" s="5" t="n">
        <v>0.015</v>
      </c>
      <c r="P48" s="7" t="n">
        <v>3e-06</v>
      </c>
      <c r="Q48" s="2" t="inlineStr">
        <is>
          <t>Other valorised packaging (textile, rubber, etc.)</t>
        </is>
      </c>
      <c r="R48" s="2" t="inlineStr">
        <is>
          <t>016-03</t>
        </is>
      </c>
      <c r="S48" s="5" t="n">
        <v>3.9092</v>
      </c>
      <c r="T48" s="7" t="n">
        <v>0.00078184</v>
      </c>
      <c r="U48" s="2" t="inlineStr">
        <is>
          <t>Often excluded/immaterial (inks/adhesives) depending on scheme reporting rules; verify.</t>
        </is>
      </c>
      <c r="V48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49">
      <c r="A49" s="2" t="inlineStr">
        <is>
          <t>PKG0017</t>
        </is>
      </c>
      <c r="B49" s="2" t="inlineStr">
        <is>
          <t>Aluminium beverage can 500 mL (tall)</t>
        </is>
      </c>
      <c r="C49" s="2" t="inlineStr">
        <is>
          <t>Can (body+end)</t>
        </is>
      </c>
      <c r="D49" s="2" t="inlineStr">
        <is>
          <t>ME.ALU.THICK</t>
        </is>
      </c>
      <c r="E49" s="2" t="inlineStr">
        <is>
          <t>Aluminium (≥50 μm)</t>
        </is>
      </c>
      <c r="F49" s="2" t="inlineStr">
        <is>
          <t>Metals &gt; Aluminium &gt; Aluminium (≥50 μm)</t>
        </is>
      </c>
      <c r="G49" s="4" t="n">
        <v>16</v>
      </c>
      <c r="H49" s="3" t="n"/>
      <c r="I49" s="2" t="inlineStr">
        <is>
          <t>Aluminium</t>
        </is>
      </c>
      <c r="J49" s="2" t="inlineStr"/>
      <c r="K49" s="5" t="n">
        <v>0.266</v>
      </c>
      <c r="L49" s="6" t="n">
        <v>0.004256</v>
      </c>
      <c r="M49" s="2" t="inlineStr">
        <is>
          <t>Aluminium</t>
        </is>
      </c>
      <c r="N49" s="2" t="inlineStr"/>
      <c r="O49" s="5" t="n">
        <v>0.3</v>
      </c>
      <c r="P49" s="7" t="n">
        <v>0.0048</v>
      </c>
      <c r="Q49" s="2" t="inlineStr">
        <is>
          <t>Aluminium ≥ 50μm (≥ 50% Alu)</t>
        </is>
      </c>
      <c r="R49" s="2" t="inlineStr">
        <is>
          <t>004</t>
        </is>
      </c>
      <c r="S49" s="5" t="n">
        <v>0.0481</v>
      </c>
      <c r="T49" s="7" t="n">
        <v>0.0007695999999999999</v>
      </c>
      <c r="U49" s="2" t="inlineStr"/>
      <c r="V49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50">
      <c r="A50" s="2" t="inlineStr">
        <is>
          <t>PKG0017</t>
        </is>
      </c>
      <c r="B50" s="2" t="inlineStr">
        <is>
          <t>Aluminium beverage can 500 mL (tall)</t>
        </is>
      </c>
      <c r="C50" s="2" t="inlineStr">
        <is>
          <t>Inks/coatings</t>
        </is>
      </c>
      <c r="D50" s="2" t="inlineStr">
        <is>
          <t>OT.OTHER_PACK</t>
        </is>
      </c>
      <c r="E50" s="2" t="inlineStr">
        <is>
          <t>Packaging of other materials</t>
        </is>
      </c>
      <c r="F50" s="2" t="inlineStr">
        <is>
          <t>Other &gt; Packaging of other materials</t>
        </is>
      </c>
      <c r="G50" s="4" t="n">
        <v>0.25</v>
      </c>
      <c r="H50" s="3" t="n"/>
      <c r="I50" s="2" t="inlineStr">
        <is>
          <t>Other</t>
        </is>
      </c>
      <c r="J50" s="2" t="inlineStr"/>
      <c r="K50" s="5" t="n">
        <v>0.259</v>
      </c>
      <c r="L50" s="6" t="n">
        <v>6.475e-05</v>
      </c>
      <c r="M50" s="2" t="inlineStr">
        <is>
          <t>Andere materiaalsoorten</t>
        </is>
      </c>
      <c r="N50" s="2" t="inlineStr"/>
      <c r="O50" s="5" t="n">
        <v>0.015</v>
      </c>
      <c r="P50" s="7" t="n">
        <v>3.75e-06</v>
      </c>
      <c r="Q50" s="2" t="inlineStr">
        <is>
          <t>Other valorised packaging (textile, rubber, etc.)</t>
        </is>
      </c>
      <c r="R50" s="2" t="inlineStr">
        <is>
          <t>016-03</t>
        </is>
      </c>
      <c r="S50" s="5" t="n">
        <v>3.9092</v>
      </c>
      <c r="T50" s="7" t="n">
        <v>0.0009773</v>
      </c>
      <c r="U50" s="2" t="inlineStr">
        <is>
          <t>Often excluded/immaterial (inks/adhesives) depending on scheme reporting rules; verify.</t>
        </is>
      </c>
      <c r="V50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51">
      <c r="A51" s="2" t="inlineStr">
        <is>
          <t>PKG0018</t>
        </is>
      </c>
      <c r="B51" s="2" t="inlineStr">
        <is>
          <t>Steel food can (tinplate) ~400 g contents + easy-open end</t>
        </is>
      </c>
      <c r="C51" s="2" t="inlineStr">
        <is>
          <t>Can body+end</t>
        </is>
      </c>
      <c r="D51" s="2" t="inlineStr">
        <is>
          <t>ME.STEEL</t>
        </is>
      </c>
      <c r="E51" s="2" t="inlineStr">
        <is>
          <t>Steel / ferrous metal</t>
        </is>
      </c>
      <c r="F51" s="2" t="inlineStr">
        <is>
          <t>Metals &gt; Steel / ferrous metal</t>
        </is>
      </c>
      <c r="G51" s="4" t="n">
        <v>45</v>
      </c>
      <c r="H51" s="3" t="n"/>
      <c r="I51" s="2" t="inlineStr">
        <is>
          <t>Steel</t>
        </is>
      </c>
      <c r="J51" s="2" t="inlineStr"/>
      <c r="K51" s="5" t="n">
        <v>0.259</v>
      </c>
      <c r="L51" s="6" t="n">
        <v>0.011655</v>
      </c>
      <c r="M51" s="2" t="inlineStr">
        <is>
          <t>Overige metalen</t>
        </is>
      </c>
      <c r="N51" s="2" t="inlineStr"/>
      <c r="O51" s="5" t="n">
        <v>0.36</v>
      </c>
      <c r="P51" s="7" t="n">
        <v>0.0162</v>
      </c>
      <c r="Q51" s="2" t="inlineStr">
        <is>
          <t>Steel</t>
        </is>
      </c>
      <c r="R51" s="2" t="inlineStr">
        <is>
          <t>003</t>
        </is>
      </c>
      <c r="S51" s="5" t="n">
        <v>0.1117</v>
      </c>
      <c r="T51" s="7" t="n">
        <v>0.0050265</v>
      </c>
      <c r="U51" s="2" t="inlineStr"/>
      <c r="V51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52">
      <c r="A52" s="2" t="inlineStr">
        <is>
          <t>PKG0018</t>
        </is>
      </c>
      <c r="B52" s="2" t="inlineStr">
        <is>
          <t>Steel food can (tinplate) ~400 g contents + easy-open end</t>
        </is>
      </c>
      <c r="C52" s="2" t="inlineStr">
        <is>
          <t>Label</t>
        </is>
      </c>
      <c r="D52" s="2" t="inlineStr">
        <is>
          <t>PA.MONO</t>
        </is>
      </c>
      <c r="E52" s="2" t="inlineStr">
        <is>
          <t>Paper/cardboard — mono-material</t>
        </is>
      </c>
      <c r="F52" s="2" t="inlineStr">
        <is>
          <t>Paper &amp; Cardboard &gt; Paper/cardboard — mono-material</t>
        </is>
      </c>
      <c r="G52" s="4" t="n">
        <v>1</v>
      </c>
      <c r="H52" s="3" t="n"/>
      <c r="I52" s="2" t="inlineStr">
        <is>
          <t>Paper and card</t>
        </is>
      </c>
      <c r="J52" s="2" t="inlineStr"/>
      <c r="K52" s="5" t="n">
        <v>0.196</v>
      </c>
      <c r="L52" s="6" t="n">
        <v>0.000196</v>
      </c>
      <c r="M52" s="2" t="inlineStr">
        <is>
          <t>Papier en karton</t>
        </is>
      </c>
      <c r="N52" s="2" t="inlineStr"/>
      <c r="O52" s="5" t="n">
        <v>0.017</v>
      </c>
      <c r="P52" s="7" t="n">
        <v>1.7e-05</v>
      </c>
      <c r="Q52" s="2" t="inlineStr">
        <is>
          <t>Paper-cardboard</t>
        </is>
      </c>
      <c r="R52" s="2" t="inlineStr">
        <is>
          <t>002</t>
        </is>
      </c>
      <c r="S52" s="5" t="n">
        <v>0.1503</v>
      </c>
      <c r="T52" s="7" t="n">
        <v>0.0001503</v>
      </c>
      <c r="U52" s="2" t="inlineStr"/>
      <c r="V52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53">
      <c r="A53" s="2" t="inlineStr">
        <is>
          <t>PKG0019</t>
        </is>
      </c>
      <c r="B53" s="2" t="inlineStr">
        <is>
          <t>Steel food can (tinplate) ~800 g contents + end</t>
        </is>
      </c>
      <c r="C53" s="2" t="inlineStr">
        <is>
          <t>Can body+end</t>
        </is>
      </c>
      <c r="D53" s="2" t="inlineStr">
        <is>
          <t>ME.STEEL</t>
        </is>
      </c>
      <c r="E53" s="2" t="inlineStr">
        <is>
          <t>Steel / ferrous metal</t>
        </is>
      </c>
      <c r="F53" s="2" t="inlineStr">
        <is>
          <t>Metals &gt; Steel / ferrous metal</t>
        </is>
      </c>
      <c r="G53" s="4" t="n">
        <v>65</v>
      </c>
      <c r="H53" s="3" t="n"/>
      <c r="I53" s="2" t="inlineStr">
        <is>
          <t>Steel</t>
        </is>
      </c>
      <c r="J53" s="2" t="inlineStr"/>
      <c r="K53" s="5" t="n">
        <v>0.259</v>
      </c>
      <c r="L53" s="6" t="n">
        <v>0.016835</v>
      </c>
      <c r="M53" s="2" t="inlineStr">
        <is>
          <t>Overige metalen</t>
        </is>
      </c>
      <c r="N53" s="2" t="inlineStr"/>
      <c r="O53" s="5" t="n">
        <v>0.36</v>
      </c>
      <c r="P53" s="7" t="n">
        <v>0.0234</v>
      </c>
      <c r="Q53" s="2" t="inlineStr">
        <is>
          <t>Steel</t>
        </is>
      </c>
      <c r="R53" s="2" t="inlineStr">
        <is>
          <t>003</t>
        </is>
      </c>
      <c r="S53" s="5" t="n">
        <v>0.1117</v>
      </c>
      <c r="T53" s="7" t="n">
        <v>0.0072605</v>
      </c>
      <c r="U53" s="2" t="inlineStr"/>
      <c r="V53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54">
      <c r="A54" s="2" t="inlineStr">
        <is>
          <t>PKG0019</t>
        </is>
      </c>
      <c r="B54" s="2" t="inlineStr">
        <is>
          <t>Steel food can (tinplate) ~800 g contents + end</t>
        </is>
      </c>
      <c r="C54" s="2" t="inlineStr">
        <is>
          <t>Label</t>
        </is>
      </c>
      <c r="D54" s="2" t="inlineStr">
        <is>
          <t>PA.MONO</t>
        </is>
      </c>
      <c r="E54" s="2" t="inlineStr">
        <is>
          <t>Paper/cardboard — mono-material</t>
        </is>
      </c>
      <c r="F54" s="2" t="inlineStr">
        <is>
          <t>Paper &amp; Cardboard &gt; Paper/cardboard — mono-material</t>
        </is>
      </c>
      <c r="G54" s="4" t="n">
        <v>1.2</v>
      </c>
      <c r="H54" s="3" t="n"/>
      <c r="I54" s="2" t="inlineStr">
        <is>
          <t>Paper and card</t>
        </is>
      </c>
      <c r="J54" s="2" t="inlineStr"/>
      <c r="K54" s="5" t="n">
        <v>0.196</v>
      </c>
      <c r="L54" s="6" t="n">
        <v>0.0002352</v>
      </c>
      <c r="M54" s="2" t="inlineStr">
        <is>
          <t>Papier en karton</t>
        </is>
      </c>
      <c r="N54" s="2" t="inlineStr"/>
      <c r="O54" s="5" t="n">
        <v>0.017</v>
      </c>
      <c r="P54" s="7" t="n">
        <v>2.04e-05</v>
      </c>
      <c r="Q54" s="2" t="inlineStr">
        <is>
          <t>Paper-cardboard</t>
        </is>
      </c>
      <c r="R54" s="2" t="inlineStr">
        <is>
          <t>002</t>
        </is>
      </c>
      <c r="S54" s="5" t="n">
        <v>0.1503</v>
      </c>
      <c r="T54" s="7" t="n">
        <v>0.00018036</v>
      </c>
      <c r="U54" s="2" t="inlineStr"/>
      <c r="V54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55">
      <c r="A55" s="2" t="inlineStr">
        <is>
          <t>PKG0020</t>
        </is>
      </c>
      <c r="B55" s="2" t="inlineStr">
        <is>
          <t>Beverage carton 1 L (paperboard/PE/Al) + HDPE cap</t>
        </is>
      </c>
      <c r="C55" s="2" t="inlineStr">
        <is>
          <t>Paperboard layer</t>
        </is>
      </c>
      <c r="D55" s="2" t="inlineStr">
        <is>
          <t>PA.MONO</t>
        </is>
      </c>
      <c r="E55" s="2" t="inlineStr">
        <is>
          <t>Paper/cardboard — mono-material</t>
        </is>
      </c>
      <c r="F55" s="2" t="inlineStr">
        <is>
          <t>Paper &amp; Cardboard &gt; Paper/cardboard — mono-material</t>
        </is>
      </c>
      <c r="G55" s="4" t="n">
        <v>24.5</v>
      </c>
      <c r="H55" s="3" t="n"/>
      <c r="I55" s="2" t="inlineStr">
        <is>
          <t>Paper and card</t>
        </is>
      </c>
      <c r="J55" s="2" t="inlineStr"/>
      <c r="K55" s="5" t="n">
        <v>0.196</v>
      </c>
      <c r="L55" s="6" t="n">
        <v>0.004802000000000001</v>
      </c>
      <c r="M55" s="2" t="inlineStr">
        <is>
          <t>Papier en karton</t>
        </is>
      </c>
      <c r="N55" s="2" t="inlineStr"/>
      <c r="O55" s="5" t="n">
        <v>0.017</v>
      </c>
      <c r="P55" s="7" t="n">
        <v>0.0004165</v>
      </c>
      <c r="Q55" s="2" t="inlineStr">
        <is>
          <t>Paper-cardboard</t>
        </is>
      </c>
      <c r="R55" s="2" t="inlineStr">
        <is>
          <t>002</t>
        </is>
      </c>
      <c r="S55" s="5" t="n">
        <v>0.1503</v>
      </c>
      <c r="T55" s="7" t="n">
        <v>0.00368235</v>
      </c>
      <c r="U55" s="2" t="inlineStr"/>
      <c r="V55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56">
      <c r="A56" s="2" t="inlineStr">
        <is>
          <t>PKG0020</t>
        </is>
      </c>
      <c r="B56" s="2" t="inlineStr">
        <is>
          <t>Beverage carton 1 L (paperboard/PE/Al) + HDPE cap</t>
        </is>
      </c>
      <c r="C56" s="2" t="inlineStr">
        <is>
          <t>PE layers</t>
        </is>
      </c>
      <c r="D56" s="2" t="inlineStr">
        <is>
          <t>PL.PE.FILM</t>
        </is>
      </c>
      <c r="E56" s="2" t="inlineStr">
        <is>
          <t>PE films</t>
        </is>
      </c>
      <c r="F56" s="2" t="inlineStr">
        <is>
          <t>Plastics &gt; Flexible plastics (films) &gt; PE films</t>
        </is>
      </c>
      <c r="G56" s="4" t="n">
        <v>9.1</v>
      </c>
      <c r="H56" s="3" t="n"/>
      <c r="I56" s="2" t="inlineStr">
        <is>
          <t>Plastic</t>
        </is>
      </c>
      <c r="J56" s="2" t="inlineStr">
        <is>
          <t>PE.FILM</t>
        </is>
      </c>
      <c r="K56" s="5" t="n">
        <v>0.423</v>
      </c>
      <c r="L56" s="6" t="n">
        <v>0.0038493</v>
      </c>
      <c r="M56" s="2" t="inlineStr">
        <is>
          <t>Plastic flexibel/ niet gespecificeerd</t>
        </is>
      </c>
      <c r="N56" s="2" t="inlineStr"/>
      <c r="O56" s="5" t="n">
        <v>1.32</v>
      </c>
      <c r="P56" s="7" t="n">
        <v>0.012012</v>
      </c>
      <c r="Q56" s="2" t="inlineStr">
        <is>
          <t>PE – Films</t>
        </is>
      </c>
      <c r="R56" s="2" t="inlineStr">
        <is>
          <t>011-07</t>
        </is>
      </c>
      <c r="S56" s="5" t="n">
        <v>1.2844</v>
      </c>
      <c r="T56" s="7" t="n">
        <v>0.01168804</v>
      </c>
      <c r="U56" s="2" t="inlineStr">
        <is>
          <t>NL plastic type inferred (rigid vs flexible) from material/component keywords.</t>
        </is>
      </c>
      <c r="V56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57">
      <c r="A57" s="2" t="inlineStr">
        <is>
          <t>PKG0020</t>
        </is>
      </c>
      <c r="B57" s="2" t="inlineStr">
        <is>
          <t>Beverage carton 1 L (paperboard/PE/Al) + HDPE cap</t>
        </is>
      </c>
      <c r="C57" s="2" t="inlineStr">
        <is>
          <t>Aluminium barrier</t>
        </is>
      </c>
      <c r="D57" s="2" t="inlineStr">
        <is>
          <t>ME.ALU.THIN</t>
        </is>
      </c>
      <c r="E57" s="2" t="inlineStr">
        <is>
          <t>Aluminium (&lt;50 μm)</t>
        </is>
      </c>
      <c r="F57" s="2" t="inlineStr">
        <is>
          <t>Metals &gt; Aluminium &gt; Aluminium (&lt;50 μm)</t>
        </is>
      </c>
      <c r="G57" s="4" t="n">
        <v>1.4</v>
      </c>
      <c r="H57" s="3" t="n"/>
      <c r="I57" s="2" t="inlineStr">
        <is>
          <t>Aluminium</t>
        </is>
      </c>
      <c r="J57" s="2" t="inlineStr"/>
      <c r="K57" s="5" t="n">
        <v>0.266</v>
      </c>
      <c r="L57" s="6" t="n">
        <v>0.0003724</v>
      </c>
      <c r="M57" s="2" t="inlineStr">
        <is>
          <t>Aluminium</t>
        </is>
      </c>
      <c r="N57" s="2" t="inlineStr"/>
      <c r="O57" s="5" t="n">
        <v>0.3</v>
      </c>
      <c r="P57" s="7" t="n">
        <v>0.00042</v>
      </c>
      <c r="Q57" s="2" t="inlineStr">
        <is>
          <t>Aluminium &lt; 50μm (≥ 50% Alu)</t>
        </is>
      </c>
      <c r="R57" s="2" t="inlineStr">
        <is>
          <t>013</t>
        </is>
      </c>
      <c r="S57" s="5" t="n">
        <v>0.0481</v>
      </c>
      <c r="T57" s="7" t="n">
        <v>6.733999999999999e-05</v>
      </c>
      <c r="U57" s="2" t="inlineStr"/>
      <c r="V57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58">
      <c r="A58" s="2" t="inlineStr">
        <is>
          <t>PKG0020</t>
        </is>
      </c>
      <c r="B58" s="2" t="inlineStr">
        <is>
          <t>Beverage carton 1 L (paperboard/PE/Al) + HDPE cap</t>
        </is>
      </c>
      <c r="C58" s="2" t="inlineStr">
        <is>
          <t>Cap</t>
        </is>
      </c>
      <c r="D58" s="2" t="inlineStr">
        <is>
          <t>PL.PE.RIGID</t>
        </is>
      </c>
      <c r="E58" s="2" t="inlineStr">
        <is>
          <t>PE rigid (bottles, caps, trays etc.)</t>
        </is>
      </c>
      <c r="F58" s="2" t="inlineStr">
        <is>
          <t>Plastics &gt; Rigid plastics &gt; PE rigid (bottles, caps, trays etc.)</t>
        </is>
      </c>
      <c r="G58" s="4" t="n">
        <v>1.5</v>
      </c>
      <c r="H58" s="3" t="n"/>
      <c r="I58" s="2" t="inlineStr">
        <is>
          <t>Plastic</t>
        </is>
      </c>
      <c r="J58" s="2" t="inlineStr">
        <is>
          <t>PE.RIGID</t>
        </is>
      </c>
      <c r="K58" s="5" t="n">
        <v>0.423</v>
      </c>
      <c r="L58" s="6" t="n">
        <v>0.0006345</v>
      </c>
      <c r="M58" s="2" t="inlineStr">
        <is>
          <t>Plastic vormvast</t>
        </is>
      </c>
      <c r="N58" s="2" t="inlineStr"/>
      <c r="O58" s="5" t="n">
        <v>1.22</v>
      </c>
      <c r="P58" s="7" t="n">
        <v>0.00183</v>
      </c>
      <c r="Q58" s="2" t="inlineStr">
        <is>
          <t>PE – Bottles, flasks and other hard packaging</t>
        </is>
      </c>
      <c r="R58" s="2" t="inlineStr">
        <is>
          <t>011-03</t>
        </is>
      </c>
      <c r="S58" s="5" t="n">
        <v>0.515</v>
      </c>
      <c r="T58" s="7" t="n">
        <v>0.0007725000000000001</v>
      </c>
      <c r="U58" s="2" t="inlineStr">
        <is>
          <t>NL plastic type inferred (rigid vs flexible) from material/component keywords.</t>
        </is>
      </c>
      <c r="V58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59">
      <c r="A59" s="2" t="inlineStr">
        <is>
          <t>PKG0021</t>
        </is>
      </c>
      <c r="B59" s="2" t="inlineStr">
        <is>
          <t>Stand-up pouch 250 g (laminate) + zipper</t>
        </is>
      </c>
      <c r="C59" s="2" t="inlineStr">
        <is>
          <t>Pouch film (laminate)</t>
        </is>
      </c>
      <c r="D59" s="2" t="inlineStr">
        <is>
          <t>PL.FLEX</t>
        </is>
      </c>
      <c r="E59" s="2" t="inlineStr">
        <is>
          <t>Flexible plastics (films)</t>
        </is>
      </c>
      <c r="F59" s="2" t="inlineStr">
        <is>
          <t>Plastics &gt; Flexible plastics (films)</t>
        </is>
      </c>
      <c r="G59" s="4" t="n">
        <v>9</v>
      </c>
      <c r="H59" s="3" t="n"/>
      <c r="I59" s="2" t="inlineStr">
        <is>
          <t>Plastic</t>
        </is>
      </c>
      <c r="J59" s="2" t="inlineStr">
        <is>
          <t>FLEX</t>
        </is>
      </c>
      <c r="K59" s="5" t="n">
        <v>0.423</v>
      </c>
      <c r="L59" s="6" t="n">
        <v>0.003807</v>
      </c>
      <c r="M59" s="2" t="inlineStr">
        <is>
          <t>Plastic flexibel/ niet gespecificeerd</t>
        </is>
      </c>
      <c r="N59" s="2" t="inlineStr"/>
      <c r="O59" s="5" t="n">
        <v>1.32</v>
      </c>
      <c r="P59" s="7" t="n">
        <v>0.01188</v>
      </c>
      <c r="Q59" s="2" t="inlineStr">
        <is>
          <t>Other plastic films</t>
        </is>
      </c>
      <c r="R59" s="2" t="inlineStr">
        <is>
          <t>011-09</t>
        </is>
      </c>
      <c r="S59" s="5" t="n">
        <v>1.9546</v>
      </c>
      <c r="T59" s="7" t="n">
        <v>0.0175914</v>
      </c>
      <c r="U59" s="2" t="inlineStr">
        <is>
          <t>NL plastic type inferred (rigid vs flexible) from material/component keywords.</t>
        </is>
      </c>
      <c r="V59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60">
      <c r="A60" s="2" t="inlineStr">
        <is>
          <t>PKG0021</t>
        </is>
      </c>
      <c r="B60" s="2" t="inlineStr">
        <is>
          <t>Stand-up pouch 250 g (laminate) + zipper</t>
        </is>
      </c>
      <c r="C60" s="2" t="inlineStr">
        <is>
          <t>Zipper</t>
        </is>
      </c>
      <c r="D60" s="2" t="inlineStr">
        <is>
          <t>PL.PP.RIGID</t>
        </is>
      </c>
      <c r="E60" s="2" t="inlineStr">
        <is>
          <t>PP rigid (bottles, caps etc.)</t>
        </is>
      </c>
      <c r="F60" s="2" t="inlineStr">
        <is>
          <t>Plastics &gt; Rigid plastics &gt; PP rigid (bottles, caps etc.)</t>
        </is>
      </c>
      <c r="G60" s="4" t="n">
        <v>1</v>
      </c>
      <c r="H60" s="3" t="n"/>
      <c r="I60" s="2" t="inlineStr">
        <is>
          <t>Plastic</t>
        </is>
      </c>
      <c r="J60" s="2" t="inlineStr">
        <is>
          <t>PP.RIGID</t>
        </is>
      </c>
      <c r="K60" s="5" t="n">
        <v>0.423</v>
      </c>
      <c r="L60" s="6" t="n">
        <v>0.000423</v>
      </c>
      <c r="M60" s="2" t="inlineStr">
        <is>
          <t>Plastic flexibel/ niet gespecificeerd</t>
        </is>
      </c>
      <c r="N60" s="2" t="inlineStr"/>
      <c r="O60" s="5" t="n">
        <v>1.32</v>
      </c>
      <c r="P60" s="7" t="n">
        <v>0.00132</v>
      </c>
      <c r="Q60" s="2" t="inlineStr">
        <is>
          <t>PP – Bottles, flasks and other rigid packaging</t>
        </is>
      </c>
      <c r="R60" s="2" t="inlineStr">
        <is>
          <t>011-01</t>
        </is>
      </c>
      <c r="S60" s="5" t="n">
        <v>0.8048999999999999</v>
      </c>
      <c r="T60" s="7" t="n">
        <v>0.0008049</v>
      </c>
      <c r="U60" s="2" t="inlineStr">
        <is>
          <t>NL plastic type inferred (rigid vs flexible) from material/component keywords.</t>
        </is>
      </c>
      <c r="V60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61">
      <c r="A61" s="2" t="inlineStr">
        <is>
          <t>PKG0022</t>
        </is>
      </c>
      <c r="B61" s="2" t="inlineStr">
        <is>
          <t>Stand-up pouch 500 g (laminate) + zipper</t>
        </is>
      </c>
      <c r="C61" s="2" t="inlineStr">
        <is>
          <t>Pouch film (laminate)</t>
        </is>
      </c>
      <c r="D61" s="2" t="inlineStr">
        <is>
          <t>PL.FLEX</t>
        </is>
      </c>
      <c r="E61" s="2" t="inlineStr">
        <is>
          <t>Flexible plastics (films)</t>
        </is>
      </c>
      <c r="F61" s="2" t="inlineStr">
        <is>
          <t>Plastics &gt; Flexible plastics (films)</t>
        </is>
      </c>
      <c r="G61" s="4" t="n">
        <v>15</v>
      </c>
      <c r="H61" s="3" t="n"/>
      <c r="I61" s="2" t="inlineStr">
        <is>
          <t>Plastic</t>
        </is>
      </c>
      <c r="J61" s="2" t="inlineStr">
        <is>
          <t>FLEX</t>
        </is>
      </c>
      <c r="K61" s="5" t="n">
        <v>0.423</v>
      </c>
      <c r="L61" s="6" t="n">
        <v>0.006345</v>
      </c>
      <c r="M61" s="2" t="inlineStr">
        <is>
          <t>Plastic flexibel/ niet gespecificeerd</t>
        </is>
      </c>
      <c r="N61" s="2" t="inlineStr"/>
      <c r="O61" s="5" t="n">
        <v>1.32</v>
      </c>
      <c r="P61" s="7" t="n">
        <v>0.0198</v>
      </c>
      <c r="Q61" s="2" t="inlineStr">
        <is>
          <t>Other plastic films</t>
        </is>
      </c>
      <c r="R61" s="2" t="inlineStr">
        <is>
          <t>011-09</t>
        </is>
      </c>
      <c r="S61" s="5" t="n">
        <v>1.9546</v>
      </c>
      <c r="T61" s="7" t="n">
        <v>0.029319</v>
      </c>
      <c r="U61" s="2" t="inlineStr">
        <is>
          <t>NL plastic type inferred (rigid vs flexible) from material/component keywords.</t>
        </is>
      </c>
      <c r="V61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62">
      <c r="A62" s="2" t="inlineStr">
        <is>
          <t>PKG0022</t>
        </is>
      </c>
      <c r="B62" s="2" t="inlineStr">
        <is>
          <t>Stand-up pouch 500 g (laminate) + zipper</t>
        </is>
      </c>
      <c r="C62" s="2" t="inlineStr">
        <is>
          <t>Zipper</t>
        </is>
      </c>
      <c r="D62" s="2" t="inlineStr">
        <is>
          <t>PL.PP.RIGID</t>
        </is>
      </c>
      <c r="E62" s="2" t="inlineStr">
        <is>
          <t>PP rigid (bottles, caps etc.)</t>
        </is>
      </c>
      <c r="F62" s="2" t="inlineStr">
        <is>
          <t>Plastics &gt; Rigid plastics &gt; PP rigid (bottles, caps etc.)</t>
        </is>
      </c>
      <c r="G62" s="4" t="n">
        <v>1.3</v>
      </c>
      <c r="H62" s="3" t="n"/>
      <c r="I62" s="2" t="inlineStr">
        <is>
          <t>Plastic</t>
        </is>
      </c>
      <c r="J62" s="2" t="inlineStr">
        <is>
          <t>PP.RIGID</t>
        </is>
      </c>
      <c r="K62" s="5" t="n">
        <v>0.423</v>
      </c>
      <c r="L62" s="6" t="n">
        <v>0.0005499</v>
      </c>
      <c r="M62" s="2" t="inlineStr">
        <is>
          <t>Plastic flexibel/ niet gespecificeerd</t>
        </is>
      </c>
      <c r="N62" s="2" t="inlineStr"/>
      <c r="O62" s="5" t="n">
        <v>1.32</v>
      </c>
      <c r="P62" s="7" t="n">
        <v>0.001716</v>
      </c>
      <c r="Q62" s="2" t="inlineStr">
        <is>
          <t>PP – Bottles, flasks and other rigid packaging</t>
        </is>
      </c>
      <c r="R62" s="2" t="inlineStr">
        <is>
          <t>011-01</t>
        </is>
      </c>
      <c r="S62" s="5" t="n">
        <v>0.8048999999999999</v>
      </c>
      <c r="T62" s="7" t="n">
        <v>0.00104637</v>
      </c>
      <c r="U62" s="2" t="inlineStr">
        <is>
          <t>NL plastic type inferred (rigid vs flexible) from material/component keywords.</t>
        </is>
      </c>
      <c r="V62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63">
      <c r="A63" s="2" t="inlineStr">
        <is>
          <t>PKG0023</t>
        </is>
      </c>
      <c r="B63" s="2" t="inlineStr">
        <is>
          <t>Sachet 20 g (flexible film)</t>
        </is>
      </c>
      <c r="C63" s="2" t="inlineStr">
        <is>
          <t>Film</t>
        </is>
      </c>
      <c r="D63" s="2" t="inlineStr">
        <is>
          <t>PL.FLEX</t>
        </is>
      </c>
      <c r="E63" s="2" t="inlineStr">
        <is>
          <t>Flexible plastics (films)</t>
        </is>
      </c>
      <c r="F63" s="2" t="inlineStr">
        <is>
          <t>Plastics &gt; Flexible plastics (films)</t>
        </is>
      </c>
      <c r="G63" s="4" t="n">
        <v>1.2</v>
      </c>
      <c r="H63" s="3" t="n"/>
      <c r="I63" s="2" t="inlineStr">
        <is>
          <t>Plastic</t>
        </is>
      </c>
      <c r="J63" s="2" t="inlineStr">
        <is>
          <t>FLEX</t>
        </is>
      </c>
      <c r="K63" s="5" t="n">
        <v>0.423</v>
      </c>
      <c r="L63" s="6" t="n">
        <v>0.0005076</v>
      </c>
      <c r="M63" s="2" t="inlineStr">
        <is>
          <t>Plastic flexibel/ niet gespecificeerd</t>
        </is>
      </c>
      <c r="N63" s="2" t="inlineStr"/>
      <c r="O63" s="5" t="n">
        <v>1.32</v>
      </c>
      <c r="P63" s="7" t="n">
        <v>0.001584</v>
      </c>
      <c r="Q63" s="2" t="inlineStr">
        <is>
          <t>Other plastic films</t>
        </is>
      </c>
      <c r="R63" s="2" t="inlineStr">
        <is>
          <t>011-09</t>
        </is>
      </c>
      <c r="S63" s="5" t="n">
        <v>1.9546</v>
      </c>
      <c r="T63" s="7" t="n">
        <v>0.00234552</v>
      </c>
      <c r="U63" s="2" t="inlineStr">
        <is>
          <t>NL plastic type inferred (rigid vs flexible) from material/component keywords.</t>
        </is>
      </c>
      <c r="V63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64">
      <c r="A64" s="2" t="inlineStr">
        <is>
          <t>PKG0024</t>
        </is>
      </c>
      <c r="B64" s="2" t="inlineStr">
        <is>
          <t>Paper sack 1 kg (multiwall) with printing</t>
        </is>
      </c>
      <c r="C64" s="2" t="inlineStr">
        <is>
          <t>Paper sack</t>
        </is>
      </c>
      <c r="D64" s="2" t="inlineStr">
        <is>
          <t>PA.MONO</t>
        </is>
      </c>
      <c r="E64" s="2" t="inlineStr">
        <is>
          <t>Paper/cardboard — mono-material</t>
        </is>
      </c>
      <c r="F64" s="2" t="inlineStr">
        <is>
          <t>Paper &amp; Cardboard &gt; Paper/cardboard — mono-material</t>
        </is>
      </c>
      <c r="G64" s="4" t="n">
        <v>60</v>
      </c>
      <c r="H64" s="3" t="n"/>
      <c r="I64" s="2" t="inlineStr">
        <is>
          <t>Paper and card</t>
        </is>
      </c>
      <c r="J64" s="2" t="inlineStr"/>
      <c r="K64" s="5" t="n">
        <v>0.196</v>
      </c>
      <c r="L64" s="6" t="n">
        <v>0.01176</v>
      </c>
      <c r="M64" s="2" t="inlineStr">
        <is>
          <t>Papier en karton</t>
        </is>
      </c>
      <c r="N64" s="2" t="inlineStr"/>
      <c r="O64" s="5" t="n">
        <v>0.017</v>
      </c>
      <c r="P64" s="7" t="n">
        <v>0.00102</v>
      </c>
      <c r="Q64" s="2" t="inlineStr">
        <is>
          <t>Paper-cardboard</t>
        </is>
      </c>
      <c r="R64" s="2" t="inlineStr">
        <is>
          <t>002</t>
        </is>
      </c>
      <c r="S64" s="5" t="n">
        <v>0.1503</v>
      </c>
      <c r="T64" s="7" t="n">
        <v>0.009017999999999998</v>
      </c>
      <c r="U64" s="2" t="inlineStr"/>
      <c r="V64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65">
      <c r="A65" s="2" t="inlineStr">
        <is>
          <t>PKG0024</t>
        </is>
      </c>
      <c r="B65" s="2" t="inlineStr">
        <is>
          <t>Paper sack 1 kg (multiwall) with printing</t>
        </is>
      </c>
      <c r="C65" s="2" t="inlineStr">
        <is>
          <t>Inks/adhesive</t>
        </is>
      </c>
      <c r="D65" s="2" t="inlineStr">
        <is>
          <t>OT.OTHER_PACK</t>
        </is>
      </c>
      <c r="E65" s="2" t="inlineStr">
        <is>
          <t>Packaging of other materials</t>
        </is>
      </c>
      <c r="F65" s="2" t="inlineStr">
        <is>
          <t>Other &gt; Packaging of other materials</t>
        </is>
      </c>
      <c r="G65" s="4" t="n">
        <v>1</v>
      </c>
      <c r="H65" s="3" t="n"/>
      <c r="I65" s="2" t="inlineStr">
        <is>
          <t>Other</t>
        </is>
      </c>
      <c r="J65" s="2" t="inlineStr"/>
      <c r="K65" s="5" t="n">
        <v>0.259</v>
      </c>
      <c r="L65" s="6" t="n">
        <v>0.000259</v>
      </c>
      <c r="M65" s="2" t="inlineStr">
        <is>
          <t>Andere materiaalsoorten</t>
        </is>
      </c>
      <c r="N65" s="2" t="inlineStr"/>
      <c r="O65" s="5" t="n">
        <v>0.015</v>
      </c>
      <c r="P65" s="7" t="n">
        <v>1.5e-05</v>
      </c>
      <c r="Q65" s="2" t="inlineStr">
        <is>
          <t>Other valorised packaging (textile, rubber, etc.)</t>
        </is>
      </c>
      <c r="R65" s="2" t="inlineStr">
        <is>
          <t>016-03</t>
        </is>
      </c>
      <c r="S65" s="5" t="n">
        <v>3.9092</v>
      </c>
      <c r="T65" s="7" t="n">
        <v>0.0039092</v>
      </c>
      <c r="U65" s="2" t="inlineStr">
        <is>
          <t>Often excluded/immaterial (inks/adhesives) depending on scheme reporting rules; verify.</t>
        </is>
      </c>
      <c r="V65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66">
      <c r="A66" s="2" t="inlineStr">
        <is>
          <t>PKG0025</t>
        </is>
      </c>
      <c r="B66" s="2" t="inlineStr">
        <is>
          <t>Folding carton (cereal box) + inner PE bag</t>
        </is>
      </c>
      <c r="C66" s="2" t="inlineStr">
        <is>
          <t>Carton</t>
        </is>
      </c>
      <c r="D66" s="2" t="inlineStr">
        <is>
          <t>PA.MONO</t>
        </is>
      </c>
      <c r="E66" s="2" t="inlineStr">
        <is>
          <t>Paper/cardboard — mono-material</t>
        </is>
      </c>
      <c r="F66" s="2" t="inlineStr">
        <is>
          <t>Paper &amp; Cardboard &gt; Paper/cardboard — mono-material</t>
        </is>
      </c>
      <c r="G66" s="4" t="n">
        <v>35</v>
      </c>
      <c r="H66" s="3" t="n"/>
      <c r="I66" s="2" t="inlineStr">
        <is>
          <t>Paper and card</t>
        </is>
      </c>
      <c r="J66" s="2" t="inlineStr"/>
      <c r="K66" s="5" t="n">
        <v>0.196</v>
      </c>
      <c r="L66" s="6" t="n">
        <v>0.006860000000000001</v>
      </c>
      <c r="M66" s="2" t="inlineStr">
        <is>
          <t>Papier en karton</t>
        </is>
      </c>
      <c r="N66" s="2" t="inlineStr"/>
      <c r="O66" s="5" t="n">
        <v>0.017</v>
      </c>
      <c r="P66" s="7" t="n">
        <v>0.0005950000000000002</v>
      </c>
      <c r="Q66" s="2" t="inlineStr">
        <is>
          <t>Paper-cardboard</t>
        </is>
      </c>
      <c r="R66" s="2" t="inlineStr">
        <is>
          <t>002</t>
        </is>
      </c>
      <c r="S66" s="5" t="n">
        <v>0.1503</v>
      </c>
      <c r="T66" s="7" t="n">
        <v>0.0052605</v>
      </c>
      <c r="U66" s="2" t="inlineStr"/>
      <c r="V66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67">
      <c r="A67" s="2" t="inlineStr">
        <is>
          <t>PKG0025</t>
        </is>
      </c>
      <c r="B67" s="2" t="inlineStr">
        <is>
          <t>Folding carton (cereal box) + inner PE bag</t>
        </is>
      </c>
      <c r="C67" s="2" t="inlineStr">
        <is>
          <t>Inner bag</t>
        </is>
      </c>
      <c r="D67" s="2" t="inlineStr">
        <is>
          <t>PL.PE.FILM</t>
        </is>
      </c>
      <c r="E67" s="2" t="inlineStr">
        <is>
          <t>PE films</t>
        </is>
      </c>
      <c r="F67" s="2" t="inlineStr">
        <is>
          <t>Plastics &gt; Flexible plastics (films) &gt; PE films</t>
        </is>
      </c>
      <c r="G67" s="4" t="n">
        <v>6</v>
      </c>
      <c r="H67" s="3" t="n"/>
      <c r="I67" s="2" t="inlineStr">
        <is>
          <t>Plastic</t>
        </is>
      </c>
      <c r="J67" s="2" t="inlineStr">
        <is>
          <t>PE.FILM</t>
        </is>
      </c>
      <c r="K67" s="5" t="n">
        <v>0.423</v>
      </c>
      <c r="L67" s="6" t="n">
        <v>0.002538</v>
      </c>
      <c r="M67" s="2" t="inlineStr">
        <is>
          <t>Plastic flexibel/ niet gespecificeerd</t>
        </is>
      </c>
      <c r="N67" s="2" t="inlineStr"/>
      <c r="O67" s="5" t="n">
        <v>1.32</v>
      </c>
      <c r="P67" s="7" t="n">
        <v>0.00792</v>
      </c>
      <c r="Q67" s="2" t="inlineStr">
        <is>
          <t>PE – Films</t>
        </is>
      </c>
      <c r="R67" s="2" t="inlineStr">
        <is>
          <t>011-07</t>
        </is>
      </c>
      <c r="S67" s="5" t="n">
        <v>1.2844</v>
      </c>
      <c r="T67" s="7" t="n">
        <v>0.0077064</v>
      </c>
      <c r="U67" s="2" t="inlineStr">
        <is>
          <t>NL plastic type inferred (rigid vs flexible) from material/component keywords.</t>
        </is>
      </c>
      <c r="V67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68">
      <c r="A68" s="2" t="inlineStr">
        <is>
          <t>PKG0025</t>
        </is>
      </c>
      <c r="B68" s="2" t="inlineStr">
        <is>
          <t>Folding carton (cereal box) + inner PE bag</t>
        </is>
      </c>
      <c r="C68" s="2" t="inlineStr">
        <is>
          <t>Inks/adhesive</t>
        </is>
      </c>
      <c r="D68" s="2" t="inlineStr">
        <is>
          <t>OT.OTHER_PACK</t>
        </is>
      </c>
      <c r="E68" s="2" t="inlineStr">
        <is>
          <t>Packaging of other materials</t>
        </is>
      </c>
      <c r="F68" s="2" t="inlineStr">
        <is>
          <t>Other &gt; Packaging of other materials</t>
        </is>
      </c>
      <c r="G68" s="4" t="n">
        <v>1.5</v>
      </c>
      <c r="H68" s="3" t="n"/>
      <c r="I68" s="2" t="inlineStr">
        <is>
          <t>Other</t>
        </is>
      </c>
      <c r="J68" s="2" t="inlineStr"/>
      <c r="K68" s="5" t="n">
        <v>0.259</v>
      </c>
      <c r="L68" s="6" t="n">
        <v>0.0003885</v>
      </c>
      <c r="M68" s="2" t="inlineStr">
        <is>
          <t>Andere materiaalsoorten</t>
        </is>
      </c>
      <c r="N68" s="2" t="inlineStr"/>
      <c r="O68" s="5" t="n">
        <v>0.015</v>
      </c>
      <c r="P68" s="7" t="n">
        <v>2.25e-05</v>
      </c>
      <c r="Q68" s="2" t="inlineStr">
        <is>
          <t>Other valorised packaging (textile, rubber, etc.)</t>
        </is>
      </c>
      <c r="R68" s="2" t="inlineStr">
        <is>
          <t>016-03</t>
        </is>
      </c>
      <c r="S68" s="5" t="n">
        <v>3.9092</v>
      </c>
      <c r="T68" s="7" t="n">
        <v>0.0058638</v>
      </c>
      <c r="U68" s="2" t="inlineStr">
        <is>
          <t>Often excluded/immaterial (inks/adhesives) depending on scheme reporting rules; verify.</t>
        </is>
      </c>
      <c r="V68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69">
      <c r="A69" s="2" t="inlineStr">
        <is>
          <t>PKG0026</t>
        </is>
      </c>
      <c r="B69" s="2" t="inlineStr">
        <is>
          <t>PET clamshell produce punnet 500 g</t>
        </is>
      </c>
      <c r="C69" s="2" t="inlineStr">
        <is>
          <t>Clamshell</t>
        </is>
      </c>
      <c r="D69" s="2" t="inlineStr">
        <is>
          <t>PL.PET.THERMO.MONO.TR</t>
        </is>
      </c>
      <c r="E69" s="2" t="inlineStr">
        <is>
          <t>PET thermoformed — mono transparent (APET)</t>
        </is>
      </c>
      <c r="F69" s="2" t="inlineStr">
        <is>
          <t>Plastics &gt; Rigid plastics &gt; PET (polyethylene terephthalate) &gt; PET thermoformed — mono transparent (APET)</t>
        </is>
      </c>
      <c r="G69" s="4" t="n">
        <v>18</v>
      </c>
      <c r="H69" s="3" t="n"/>
      <c r="I69" s="2" t="inlineStr">
        <is>
          <t>Plastic</t>
        </is>
      </c>
      <c r="J69" s="2" t="inlineStr">
        <is>
          <t>PET.THERMO.MONO.TR</t>
        </is>
      </c>
      <c r="K69" s="5" t="n">
        <v>0.423</v>
      </c>
      <c r="L69" s="6" t="n">
        <v>0.007613999999999999</v>
      </c>
      <c r="M69" s="2" t="inlineStr">
        <is>
          <t>Plastic vormvast</t>
        </is>
      </c>
      <c r="N69" s="2" t="inlineStr"/>
      <c r="O69" s="5" t="n">
        <v>1.22</v>
      </c>
      <c r="P69" s="7" t="n">
        <v>0.02196</v>
      </c>
      <c r="Q69" s="2" t="inlineStr">
        <is>
          <t>PET (mono) – Hard packaging elements other than bottles and flasks - Transparent</t>
        </is>
      </c>
      <c r="R69" s="2" t="inlineStr">
        <is>
          <t>011-05-A</t>
        </is>
      </c>
      <c r="S69" s="5" t="n">
        <v>1.1244</v>
      </c>
      <c r="T69" s="7" t="n">
        <v>0.0202392</v>
      </c>
      <c r="U69" s="2" t="inlineStr">
        <is>
          <t>NL plastic type inferred (rigid vs flexible) from material/component keywords.</t>
        </is>
      </c>
      <c r="V69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70">
      <c r="A70" s="2" t="inlineStr">
        <is>
          <t>PKG0027</t>
        </is>
      </c>
      <c r="B70" s="2" t="inlineStr">
        <is>
          <t>Corrugated shipping box (RSC) - Small</t>
        </is>
      </c>
      <c r="C70" s="2" t="inlineStr">
        <is>
          <t>Corrugated board</t>
        </is>
      </c>
      <c r="D70" s="2" t="inlineStr">
        <is>
          <t>PA.RECYCLED</t>
        </is>
      </c>
      <c r="E70" s="2" t="inlineStr">
        <is>
          <t>Paper-cardboard (recyclable fibre)</t>
        </is>
      </c>
      <c r="F70" s="2" t="inlineStr">
        <is>
          <t>Paper &amp; Cardboard &gt; Paper-cardboard (recyclable fibre)</t>
        </is>
      </c>
      <c r="G70" s="4" t="n">
        <v>120</v>
      </c>
      <c r="H70" s="3" t="n"/>
      <c r="I70" s="2" t="inlineStr">
        <is>
          <t>Paper and card</t>
        </is>
      </c>
      <c r="J70" s="2" t="inlineStr"/>
      <c r="K70" s="5" t="n">
        <v>0.196</v>
      </c>
      <c r="L70" s="6" t="n">
        <v>0.02352</v>
      </c>
      <c r="M70" s="2" t="inlineStr">
        <is>
          <t>Papier en karton</t>
        </is>
      </c>
      <c r="N70" s="2" t="inlineStr"/>
      <c r="O70" s="5" t="n">
        <v>0.017</v>
      </c>
      <c r="P70" s="7" t="n">
        <v>0.00204</v>
      </c>
      <c r="Q70" s="2" t="inlineStr">
        <is>
          <t>Paper-cardboard</t>
        </is>
      </c>
      <c r="R70" s="2" t="inlineStr">
        <is>
          <t>002</t>
        </is>
      </c>
      <c r="S70" s="5" t="n">
        <v>0.1503</v>
      </c>
      <c r="T70" s="7" t="n">
        <v>0.018036</v>
      </c>
      <c r="U70" s="2" t="inlineStr"/>
      <c r="V70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71">
      <c r="A71" s="2" t="inlineStr">
        <is>
          <t>PKG0027</t>
        </is>
      </c>
      <c r="B71" s="2" t="inlineStr">
        <is>
          <t>Corrugated shipping box (RSC) - Small</t>
        </is>
      </c>
      <c r="C71" s="2" t="inlineStr">
        <is>
          <t>Tape</t>
        </is>
      </c>
      <c r="D71" s="2" t="inlineStr">
        <is>
          <t>PL.PP.FILM</t>
        </is>
      </c>
      <c r="E71" s="2" t="inlineStr">
        <is>
          <t>PP films</t>
        </is>
      </c>
      <c r="F71" s="2" t="inlineStr">
        <is>
          <t>Plastics &gt; Flexible plastics (films) &gt; PP films</t>
        </is>
      </c>
      <c r="G71" s="4" t="n">
        <v>5</v>
      </c>
      <c r="H71" s="3" t="n"/>
      <c r="I71" s="2" t="inlineStr">
        <is>
          <t>Plastic</t>
        </is>
      </c>
      <c r="J71" s="2" t="inlineStr">
        <is>
          <t>PP.FILM</t>
        </is>
      </c>
      <c r="K71" s="5" t="n">
        <v>0.423</v>
      </c>
      <c r="L71" s="6" t="n">
        <v>0.002115</v>
      </c>
      <c r="M71" s="2" t="inlineStr">
        <is>
          <t>Plastic flexibel/ niet gespecificeerd</t>
        </is>
      </c>
      <c r="N71" s="2" t="inlineStr"/>
      <c r="O71" s="5" t="n">
        <v>1.32</v>
      </c>
      <c r="P71" s="7" t="n">
        <v>0.006600000000000001</v>
      </c>
      <c r="Q71" s="2" t="inlineStr">
        <is>
          <t>PP – Films</t>
        </is>
      </c>
      <c r="R71" s="2" t="inlineStr">
        <is>
          <t>011-09-A</t>
        </is>
      </c>
      <c r="S71" s="5" t="n">
        <v>1.9546</v>
      </c>
      <c r="T71" s="7" t="n">
        <v>0.009773</v>
      </c>
      <c r="U71" s="2" t="inlineStr">
        <is>
          <t>NL plastic type inferred (rigid vs flexible) from material/component keywords.</t>
        </is>
      </c>
      <c r="V71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72">
      <c r="A72" s="2" t="inlineStr">
        <is>
          <t>PKG0027</t>
        </is>
      </c>
      <c r="B72" s="2" t="inlineStr">
        <is>
          <t>Corrugated shipping box (RSC) - Small</t>
        </is>
      </c>
      <c r="C72" s="2" t="inlineStr">
        <is>
          <t>Label</t>
        </is>
      </c>
      <c r="D72" s="2" t="inlineStr">
        <is>
          <t>PA.MONO</t>
        </is>
      </c>
      <c r="E72" s="2" t="inlineStr">
        <is>
          <t>Paper/cardboard — mono-material</t>
        </is>
      </c>
      <c r="F72" s="2" t="inlineStr">
        <is>
          <t>Paper &amp; Cardboard &gt; Paper/cardboard — mono-material</t>
        </is>
      </c>
      <c r="G72" s="4" t="n">
        <v>1</v>
      </c>
      <c r="H72" s="3" t="n"/>
      <c r="I72" s="2" t="inlineStr">
        <is>
          <t>Paper and card</t>
        </is>
      </c>
      <c r="J72" s="2" t="inlineStr"/>
      <c r="K72" s="5" t="n">
        <v>0.196</v>
      </c>
      <c r="L72" s="6" t="n">
        <v>0.000196</v>
      </c>
      <c r="M72" s="2" t="inlineStr">
        <is>
          <t>Papier en karton</t>
        </is>
      </c>
      <c r="N72" s="2" t="inlineStr"/>
      <c r="O72" s="5" t="n">
        <v>0.017</v>
      </c>
      <c r="P72" s="7" t="n">
        <v>1.7e-05</v>
      </c>
      <c r="Q72" s="2" t="inlineStr">
        <is>
          <t>Paper-cardboard</t>
        </is>
      </c>
      <c r="R72" s="2" t="inlineStr">
        <is>
          <t>002</t>
        </is>
      </c>
      <c r="S72" s="5" t="n">
        <v>0.1503</v>
      </c>
      <c r="T72" s="7" t="n">
        <v>0.0001503</v>
      </c>
      <c r="U72" s="2" t="inlineStr"/>
      <c r="V72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73">
      <c r="A73" s="2" t="inlineStr">
        <is>
          <t>PKG0028</t>
        </is>
      </c>
      <c r="B73" s="2" t="inlineStr">
        <is>
          <t>Corrugated shipping box (RSC) - Medium</t>
        </is>
      </c>
      <c r="C73" s="2" t="inlineStr">
        <is>
          <t>Corrugated board</t>
        </is>
      </c>
      <c r="D73" s="2" t="inlineStr">
        <is>
          <t>PA.RECYCLED</t>
        </is>
      </c>
      <c r="E73" s="2" t="inlineStr">
        <is>
          <t>Paper-cardboard (recyclable fibre)</t>
        </is>
      </c>
      <c r="F73" s="2" t="inlineStr">
        <is>
          <t>Paper &amp; Cardboard &gt; Paper-cardboard (recyclable fibre)</t>
        </is>
      </c>
      <c r="G73" s="4" t="n">
        <v>380</v>
      </c>
      <c r="H73" s="3" t="n"/>
      <c r="I73" s="2" t="inlineStr">
        <is>
          <t>Paper and card</t>
        </is>
      </c>
      <c r="J73" s="2" t="inlineStr"/>
      <c r="K73" s="5" t="n">
        <v>0.196</v>
      </c>
      <c r="L73" s="6" t="n">
        <v>0.07448</v>
      </c>
      <c r="M73" s="2" t="inlineStr">
        <is>
          <t>Papier en karton</t>
        </is>
      </c>
      <c r="N73" s="2" t="inlineStr"/>
      <c r="O73" s="5" t="n">
        <v>0.017</v>
      </c>
      <c r="P73" s="7" t="n">
        <v>0.00646</v>
      </c>
      <c r="Q73" s="2" t="inlineStr">
        <is>
          <t>Paper-cardboard</t>
        </is>
      </c>
      <c r="R73" s="2" t="inlineStr">
        <is>
          <t>002</t>
        </is>
      </c>
      <c r="S73" s="5" t="n">
        <v>0.1503</v>
      </c>
      <c r="T73" s="7" t="n">
        <v>0.057114</v>
      </c>
      <c r="U73" s="2" t="inlineStr"/>
      <c r="V73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74">
      <c r="A74" s="2" t="inlineStr">
        <is>
          <t>PKG0028</t>
        </is>
      </c>
      <c r="B74" s="2" t="inlineStr">
        <is>
          <t>Corrugated shipping box (RSC) - Medium</t>
        </is>
      </c>
      <c r="C74" s="2" t="inlineStr">
        <is>
          <t>Tape</t>
        </is>
      </c>
      <c r="D74" s="2" t="inlineStr">
        <is>
          <t>PL.PP.FILM</t>
        </is>
      </c>
      <c r="E74" s="2" t="inlineStr">
        <is>
          <t>PP films</t>
        </is>
      </c>
      <c r="F74" s="2" t="inlineStr">
        <is>
          <t>Plastics &gt; Flexible plastics (films) &gt; PP films</t>
        </is>
      </c>
      <c r="G74" s="4" t="n">
        <v>8</v>
      </c>
      <c r="H74" s="3" t="n"/>
      <c r="I74" s="2" t="inlineStr">
        <is>
          <t>Plastic</t>
        </is>
      </c>
      <c r="J74" s="2" t="inlineStr">
        <is>
          <t>PP.FILM</t>
        </is>
      </c>
      <c r="K74" s="5" t="n">
        <v>0.423</v>
      </c>
      <c r="L74" s="6" t="n">
        <v>0.003384</v>
      </c>
      <c r="M74" s="2" t="inlineStr">
        <is>
          <t>Plastic flexibel/ niet gespecificeerd</t>
        </is>
      </c>
      <c r="N74" s="2" t="inlineStr"/>
      <c r="O74" s="5" t="n">
        <v>1.32</v>
      </c>
      <c r="P74" s="7" t="n">
        <v>0.01056</v>
      </c>
      <c r="Q74" s="2" t="inlineStr">
        <is>
          <t>PP – Films</t>
        </is>
      </c>
      <c r="R74" s="2" t="inlineStr">
        <is>
          <t>011-09-A</t>
        </is>
      </c>
      <c r="S74" s="5" t="n">
        <v>1.9546</v>
      </c>
      <c r="T74" s="7" t="n">
        <v>0.0156368</v>
      </c>
      <c r="U74" s="2" t="inlineStr">
        <is>
          <t>NL plastic type inferred (rigid vs flexible) from material/component keywords.</t>
        </is>
      </c>
      <c r="V74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75">
      <c r="A75" s="2" t="inlineStr">
        <is>
          <t>PKG0028</t>
        </is>
      </c>
      <c r="B75" s="2" t="inlineStr">
        <is>
          <t>Corrugated shipping box (RSC) - Medium</t>
        </is>
      </c>
      <c r="C75" s="2" t="inlineStr">
        <is>
          <t>Label</t>
        </is>
      </c>
      <c r="D75" s="2" t="inlineStr">
        <is>
          <t>PA.MONO</t>
        </is>
      </c>
      <c r="E75" s="2" t="inlineStr">
        <is>
          <t>Paper/cardboard — mono-material</t>
        </is>
      </c>
      <c r="F75" s="2" t="inlineStr">
        <is>
          <t>Paper &amp; Cardboard &gt; Paper/cardboard — mono-material</t>
        </is>
      </c>
      <c r="G75" s="4" t="n">
        <v>1.2</v>
      </c>
      <c r="H75" s="3" t="n"/>
      <c r="I75" s="2" t="inlineStr">
        <is>
          <t>Paper and card</t>
        </is>
      </c>
      <c r="J75" s="2" t="inlineStr"/>
      <c r="K75" s="5" t="n">
        <v>0.196</v>
      </c>
      <c r="L75" s="6" t="n">
        <v>0.0002352</v>
      </c>
      <c r="M75" s="2" t="inlineStr">
        <is>
          <t>Papier en karton</t>
        </is>
      </c>
      <c r="N75" s="2" t="inlineStr"/>
      <c r="O75" s="5" t="n">
        <v>0.017</v>
      </c>
      <c r="P75" s="7" t="n">
        <v>2.04e-05</v>
      </c>
      <c r="Q75" s="2" t="inlineStr">
        <is>
          <t>Paper-cardboard</t>
        </is>
      </c>
      <c r="R75" s="2" t="inlineStr">
        <is>
          <t>002</t>
        </is>
      </c>
      <c r="S75" s="5" t="n">
        <v>0.1503</v>
      </c>
      <c r="T75" s="7" t="n">
        <v>0.00018036</v>
      </c>
      <c r="U75" s="2" t="inlineStr"/>
      <c r="V75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76">
      <c r="A76" s="2" t="inlineStr">
        <is>
          <t>PKG0029</t>
        </is>
      </c>
      <c r="B76" s="2" t="inlineStr">
        <is>
          <t>Corrugated shipping box (RSC) - Large</t>
        </is>
      </c>
      <c r="C76" s="2" t="inlineStr">
        <is>
          <t>Corrugated board</t>
        </is>
      </c>
      <c r="D76" s="2" t="inlineStr">
        <is>
          <t>PA.RECYCLED</t>
        </is>
      </c>
      <c r="E76" s="2" t="inlineStr">
        <is>
          <t>Paper-cardboard (recyclable fibre)</t>
        </is>
      </c>
      <c r="F76" s="2" t="inlineStr">
        <is>
          <t>Paper &amp; Cardboard &gt; Paper-cardboard (recyclable fibre)</t>
        </is>
      </c>
      <c r="G76" s="4" t="n">
        <v>950</v>
      </c>
      <c r="H76" s="3" t="n"/>
      <c r="I76" s="2" t="inlineStr">
        <is>
          <t>Paper and card</t>
        </is>
      </c>
      <c r="J76" s="2" t="inlineStr"/>
      <c r="K76" s="5" t="n">
        <v>0.196</v>
      </c>
      <c r="L76" s="6" t="n">
        <v>0.1862</v>
      </c>
      <c r="M76" s="2" t="inlineStr">
        <is>
          <t>Papier en karton</t>
        </is>
      </c>
      <c r="N76" s="2" t="inlineStr"/>
      <c r="O76" s="5" t="n">
        <v>0.017</v>
      </c>
      <c r="P76" s="7" t="n">
        <v>0.01615</v>
      </c>
      <c r="Q76" s="2" t="inlineStr">
        <is>
          <t>Paper-cardboard</t>
        </is>
      </c>
      <c r="R76" s="2" t="inlineStr">
        <is>
          <t>002</t>
        </is>
      </c>
      <c r="S76" s="5" t="n">
        <v>0.1503</v>
      </c>
      <c r="T76" s="7" t="n">
        <v>0.142785</v>
      </c>
      <c r="U76" s="2" t="inlineStr"/>
      <c r="V76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77">
      <c r="A77" s="2" t="inlineStr">
        <is>
          <t>PKG0029</t>
        </is>
      </c>
      <c r="B77" s="2" t="inlineStr">
        <is>
          <t>Corrugated shipping box (RSC) - Large</t>
        </is>
      </c>
      <c r="C77" s="2" t="inlineStr">
        <is>
          <t>Tape</t>
        </is>
      </c>
      <c r="D77" s="2" t="inlineStr">
        <is>
          <t>PL.PP.FILM</t>
        </is>
      </c>
      <c r="E77" s="2" t="inlineStr">
        <is>
          <t>PP films</t>
        </is>
      </c>
      <c r="F77" s="2" t="inlineStr">
        <is>
          <t>Plastics &gt; Flexible plastics (films) &gt; PP films</t>
        </is>
      </c>
      <c r="G77" s="4" t="n">
        <v>12</v>
      </c>
      <c r="H77" s="3" t="n"/>
      <c r="I77" s="2" t="inlineStr">
        <is>
          <t>Plastic</t>
        </is>
      </c>
      <c r="J77" s="2" t="inlineStr">
        <is>
          <t>PP.FILM</t>
        </is>
      </c>
      <c r="K77" s="5" t="n">
        <v>0.423</v>
      </c>
      <c r="L77" s="6" t="n">
        <v>0.005076</v>
      </c>
      <c r="M77" s="2" t="inlineStr">
        <is>
          <t>Plastic flexibel/ niet gespecificeerd</t>
        </is>
      </c>
      <c r="N77" s="2" t="inlineStr"/>
      <c r="O77" s="5" t="n">
        <v>1.32</v>
      </c>
      <c r="P77" s="7" t="n">
        <v>0.01584</v>
      </c>
      <c r="Q77" s="2" t="inlineStr">
        <is>
          <t>PP – Films</t>
        </is>
      </c>
      <c r="R77" s="2" t="inlineStr">
        <is>
          <t>011-09-A</t>
        </is>
      </c>
      <c r="S77" s="5" t="n">
        <v>1.9546</v>
      </c>
      <c r="T77" s="7" t="n">
        <v>0.0234552</v>
      </c>
      <c r="U77" s="2" t="inlineStr">
        <is>
          <t>NL plastic type inferred (rigid vs flexible) from material/component keywords.</t>
        </is>
      </c>
      <c r="V77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78">
      <c r="A78" s="2" t="inlineStr">
        <is>
          <t>PKG0029</t>
        </is>
      </c>
      <c r="B78" s="2" t="inlineStr">
        <is>
          <t>Corrugated shipping box (RSC) - Large</t>
        </is>
      </c>
      <c r="C78" s="2" t="inlineStr">
        <is>
          <t>Label</t>
        </is>
      </c>
      <c r="D78" s="2" t="inlineStr">
        <is>
          <t>PA.MONO</t>
        </is>
      </c>
      <c r="E78" s="2" t="inlineStr">
        <is>
          <t>Paper/cardboard — mono-material</t>
        </is>
      </c>
      <c r="F78" s="2" t="inlineStr">
        <is>
          <t>Paper &amp; Cardboard &gt; Paper/cardboard — mono-material</t>
        </is>
      </c>
      <c r="G78" s="4" t="n">
        <v>1.2</v>
      </c>
      <c r="H78" s="3" t="n"/>
      <c r="I78" s="2" t="inlineStr">
        <is>
          <t>Paper and card</t>
        </is>
      </c>
      <c r="J78" s="2" t="inlineStr"/>
      <c r="K78" s="5" t="n">
        <v>0.196</v>
      </c>
      <c r="L78" s="6" t="n">
        <v>0.0002352</v>
      </c>
      <c r="M78" s="2" t="inlineStr">
        <is>
          <t>Papier en karton</t>
        </is>
      </c>
      <c r="N78" s="2" t="inlineStr"/>
      <c r="O78" s="5" t="n">
        <v>0.017</v>
      </c>
      <c r="P78" s="7" t="n">
        <v>2.04e-05</v>
      </c>
      <c r="Q78" s="2" t="inlineStr">
        <is>
          <t>Paper-cardboard</t>
        </is>
      </c>
      <c r="R78" s="2" t="inlineStr">
        <is>
          <t>002</t>
        </is>
      </c>
      <c r="S78" s="5" t="n">
        <v>0.1503</v>
      </c>
      <c r="T78" s="7" t="n">
        <v>0.00018036</v>
      </c>
      <c r="U78" s="2" t="inlineStr"/>
      <c r="V78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79">
      <c r="A79" s="2" t="inlineStr">
        <is>
          <t>PKG0030</t>
        </is>
      </c>
      <c r="B79" s="2" t="inlineStr">
        <is>
          <t>E-commerce mailer box (A5) + paper tape</t>
        </is>
      </c>
      <c r="C79" s="2" t="inlineStr">
        <is>
          <t>Mailer board</t>
        </is>
      </c>
      <c r="D79" s="2" t="inlineStr">
        <is>
          <t>PA.RECYCLED</t>
        </is>
      </c>
      <c r="E79" s="2" t="inlineStr">
        <is>
          <t>Paper-cardboard (recyclable fibre)</t>
        </is>
      </c>
      <c r="F79" s="2" t="inlineStr">
        <is>
          <t>Paper &amp; Cardboard &gt; Paper-cardboard (recyclable fibre)</t>
        </is>
      </c>
      <c r="G79" s="4" t="n">
        <v>220</v>
      </c>
      <c r="H79" s="3" t="n"/>
      <c r="I79" s="2" t="inlineStr">
        <is>
          <t>Paper and card</t>
        </is>
      </c>
      <c r="J79" s="2" t="inlineStr"/>
      <c r="K79" s="5" t="n">
        <v>0.196</v>
      </c>
      <c r="L79" s="6" t="n">
        <v>0.04312</v>
      </c>
      <c r="M79" s="2" t="inlineStr">
        <is>
          <t>Papier en karton</t>
        </is>
      </c>
      <c r="N79" s="2" t="inlineStr"/>
      <c r="O79" s="5" t="n">
        <v>0.017</v>
      </c>
      <c r="P79" s="7" t="n">
        <v>0.00374</v>
      </c>
      <c r="Q79" s="2" t="inlineStr">
        <is>
          <t>Paper-cardboard</t>
        </is>
      </c>
      <c r="R79" s="2" t="inlineStr">
        <is>
          <t>002</t>
        </is>
      </c>
      <c r="S79" s="5" t="n">
        <v>0.1503</v>
      </c>
      <c r="T79" s="7" t="n">
        <v>0.033066</v>
      </c>
      <c r="U79" s="2" t="inlineStr"/>
      <c r="V79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80">
      <c r="A80" s="2" t="inlineStr">
        <is>
          <t>PKG0030</t>
        </is>
      </c>
      <c r="B80" s="2" t="inlineStr">
        <is>
          <t>E-commerce mailer box (A5) + paper tape</t>
        </is>
      </c>
      <c r="C80" s="2" t="inlineStr">
        <is>
          <t>Paper tape</t>
        </is>
      </c>
      <c r="D80" s="2" t="inlineStr">
        <is>
          <t>PA.MONO</t>
        </is>
      </c>
      <c r="E80" s="2" t="inlineStr">
        <is>
          <t>Paper/cardboard — mono-material</t>
        </is>
      </c>
      <c r="F80" s="2" t="inlineStr">
        <is>
          <t>Paper &amp; Cardboard &gt; Paper/cardboard — mono-material</t>
        </is>
      </c>
      <c r="G80" s="4" t="n">
        <v>6</v>
      </c>
      <c r="H80" s="3" t="n"/>
      <c r="I80" s="2" t="inlineStr">
        <is>
          <t>Paper and card</t>
        </is>
      </c>
      <c r="J80" s="2" t="inlineStr"/>
      <c r="K80" s="5" t="n">
        <v>0.196</v>
      </c>
      <c r="L80" s="6" t="n">
        <v>0.001176</v>
      </c>
      <c r="M80" s="2" t="inlineStr">
        <is>
          <t>Papier en karton</t>
        </is>
      </c>
      <c r="N80" s="2" t="inlineStr"/>
      <c r="O80" s="5" t="n">
        <v>0.017</v>
      </c>
      <c r="P80" s="7" t="n">
        <v>0.000102</v>
      </c>
      <c r="Q80" s="2" t="inlineStr">
        <is>
          <t>Paper-cardboard</t>
        </is>
      </c>
      <c r="R80" s="2" t="inlineStr">
        <is>
          <t>002</t>
        </is>
      </c>
      <c r="S80" s="5" t="n">
        <v>0.1503</v>
      </c>
      <c r="T80" s="7" t="n">
        <v>0.0009017999999999999</v>
      </c>
      <c r="U80" s="2" t="inlineStr"/>
      <c r="V80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81">
      <c r="A81" s="2" t="inlineStr">
        <is>
          <t>PKG0031</t>
        </is>
      </c>
      <c r="B81" s="2" t="inlineStr">
        <is>
          <t>E-commerce mailer box (A4) + paper tape</t>
        </is>
      </c>
      <c r="C81" s="2" t="inlineStr">
        <is>
          <t>Mailer board</t>
        </is>
      </c>
      <c r="D81" s="2" t="inlineStr">
        <is>
          <t>PA.RECYCLED</t>
        </is>
      </c>
      <c r="E81" s="2" t="inlineStr">
        <is>
          <t>Paper-cardboard (recyclable fibre)</t>
        </is>
      </c>
      <c r="F81" s="2" t="inlineStr">
        <is>
          <t>Paper &amp; Cardboard &gt; Paper-cardboard (recyclable fibre)</t>
        </is>
      </c>
      <c r="G81" s="4" t="n">
        <v>420</v>
      </c>
      <c r="H81" s="3" t="n"/>
      <c r="I81" s="2" t="inlineStr">
        <is>
          <t>Paper and card</t>
        </is>
      </c>
      <c r="J81" s="2" t="inlineStr"/>
      <c r="K81" s="5" t="n">
        <v>0.196</v>
      </c>
      <c r="L81" s="6" t="n">
        <v>0.08232</v>
      </c>
      <c r="M81" s="2" t="inlineStr">
        <is>
          <t>Papier en karton</t>
        </is>
      </c>
      <c r="N81" s="2" t="inlineStr"/>
      <c r="O81" s="5" t="n">
        <v>0.017</v>
      </c>
      <c r="P81" s="7" t="n">
        <v>0.007140000000000001</v>
      </c>
      <c r="Q81" s="2" t="inlineStr">
        <is>
          <t>Paper-cardboard</t>
        </is>
      </c>
      <c r="R81" s="2" t="inlineStr">
        <is>
          <t>002</t>
        </is>
      </c>
      <c r="S81" s="5" t="n">
        <v>0.1503</v>
      </c>
      <c r="T81" s="7" t="n">
        <v>0.06312599999999999</v>
      </c>
      <c r="U81" s="2" t="inlineStr"/>
      <c r="V81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82">
      <c r="A82" s="2" t="inlineStr">
        <is>
          <t>PKG0031</t>
        </is>
      </c>
      <c r="B82" s="2" t="inlineStr">
        <is>
          <t>E-commerce mailer box (A4) + paper tape</t>
        </is>
      </c>
      <c r="C82" s="2" t="inlineStr">
        <is>
          <t>Paper tape</t>
        </is>
      </c>
      <c r="D82" s="2" t="inlineStr">
        <is>
          <t>PA.MONO</t>
        </is>
      </c>
      <c r="E82" s="2" t="inlineStr">
        <is>
          <t>Paper/cardboard — mono-material</t>
        </is>
      </c>
      <c r="F82" s="2" t="inlineStr">
        <is>
          <t>Paper &amp; Cardboard &gt; Paper/cardboard — mono-material</t>
        </is>
      </c>
      <c r="G82" s="4" t="n">
        <v>8</v>
      </c>
      <c r="H82" s="3" t="n"/>
      <c r="I82" s="2" t="inlineStr">
        <is>
          <t>Paper and card</t>
        </is>
      </c>
      <c r="J82" s="2" t="inlineStr"/>
      <c r="K82" s="5" t="n">
        <v>0.196</v>
      </c>
      <c r="L82" s="6" t="n">
        <v>0.001568</v>
      </c>
      <c r="M82" s="2" t="inlineStr">
        <is>
          <t>Papier en karton</t>
        </is>
      </c>
      <c r="N82" s="2" t="inlineStr"/>
      <c r="O82" s="5" t="n">
        <v>0.017</v>
      </c>
      <c r="P82" s="7" t="n">
        <v>0.000136</v>
      </c>
      <c r="Q82" s="2" t="inlineStr">
        <is>
          <t>Paper-cardboard</t>
        </is>
      </c>
      <c r="R82" s="2" t="inlineStr">
        <is>
          <t>002</t>
        </is>
      </c>
      <c r="S82" s="5" t="n">
        <v>0.1503</v>
      </c>
      <c r="T82" s="7" t="n">
        <v>0.0012024</v>
      </c>
      <c r="U82" s="2" t="inlineStr"/>
      <c r="V82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83">
      <c r="A83" s="2" t="inlineStr">
        <is>
          <t>PKG0032</t>
        </is>
      </c>
      <c r="B83" s="2" t="inlineStr">
        <is>
          <t>Shelf-ready tray (SRP) for 12 x 330 mL cans</t>
        </is>
      </c>
      <c r="C83" s="2" t="inlineStr">
        <is>
          <t>Corrugated board</t>
        </is>
      </c>
      <c r="D83" s="2" t="inlineStr">
        <is>
          <t>PA.RECYCLED</t>
        </is>
      </c>
      <c r="E83" s="2" t="inlineStr">
        <is>
          <t>Paper-cardboard (recyclable fibre)</t>
        </is>
      </c>
      <c r="F83" s="2" t="inlineStr">
        <is>
          <t>Paper &amp; Cardboard &gt; Paper-cardboard (recyclable fibre)</t>
        </is>
      </c>
      <c r="G83" s="4" t="n">
        <v>180</v>
      </c>
      <c r="H83" s="3" t="n"/>
      <c r="I83" s="2" t="inlineStr">
        <is>
          <t>Paper and card</t>
        </is>
      </c>
      <c r="J83" s="2" t="inlineStr"/>
      <c r="K83" s="5" t="n">
        <v>0.196</v>
      </c>
      <c r="L83" s="6" t="n">
        <v>0.03528</v>
      </c>
      <c r="M83" s="2" t="inlineStr">
        <is>
          <t>Papier en karton</t>
        </is>
      </c>
      <c r="N83" s="2" t="inlineStr"/>
      <c r="O83" s="5" t="n">
        <v>0.017</v>
      </c>
      <c r="P83" s="7" t="n">
        <v>0.00306</v>
      </c>
      <c r="Q83" s="2" t="inlineStr">
        <is>
          <t>Paper-cardboard</t>
        </is>
      </c>
      <c r="R83" s="2" t="inlineStr">
        <is>
          <t>002</t>
        </is>
      </c>
      <c r="S83" s="5" t="n">
        <v>0.1503</v>
      </c>
      <c r="T83" s="7" t="n">
        <v>0.027054</v>
      </c>
      <c r="U83" s="2" t="inlineStr"/>
      <c r="V83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84">
      <c r="A84" s="2" t="inlineStr">
        <is>
          <t>PKG0032</t>
        </is>
      </c>
      <c r="B84" s="2" t="inlineStr">
        <is>
          <t>Shelf-ready tray (SRP) for 12 x 330 mL cans</t>
        </is>
      </c>
      <c r="C84" s="2" t="inlineStr">
        <is>
          <t>Inks/adhesive</t>
        </is>
      </c>
      <c r="D84" s="2" t="inlineStr">
        <is>
          <t>OT.OTHER_PACK</t>
        </is>
      </c>
      <c r="E84" s="2" t="inlineStr">
        <is>
          <t>Packaging of other materials</t>
        </is>
      </c>
      <c r="F84" s="2" t="inlineStr">
        <is>
          <t>Other &gt; Packaging of other materials</t>
        </is>
      </c>
      <c r="G84" s="4" t="n">
        <v>2</v>
      </c>
      <c r="H84" s="3" t="n"/>
      <c r="I84" s="2" t="inlineStr">
        <is>
          <t>Other</t>
        </is>
      </c>
      <c r="J84" s="2" t="inlineStr"/>
      <c r="K84" s="5" t="n">
        <v>0.259</v>
      </c>
      <c r="L84" s="6" t="n">
        <v>0.000518</v>
      </c>
      <c r="M84" s="2" t="inlineStr">
        <is>
          <t>Andere materiaalsoorten</t>
        </is>
      </c>
      <c r="N84" s="2" t="inlineStr"/>
      <c r="O84" s="5" t="n">
        <v>0.015</v>
      </c>
      <c r="P84" s="7" t="n">
        <v>3e-05</v>
      </c>
      <c r="Q84" s="2" t="inlineStr">
        <is>
          <t>Other valorised packaging (textile, rubber, etc.)</t>
        </is>
      </c>
      <c r="R84" s="2" t="inlineStr">
        <is>
          <t>016-03</t>
        </is>
      </c>
      <c r="S84" s="5" t="n">
        <v>3.9092</v>
      </c>
      <c r="T84" s="7" t="n">
        <v>0.0078184</v>
      </c>
      <c r="U84" s="2" t="inlineStr">
        <is>
          <t>Often excluded/immaterial (inks/adhesives) depending on scheme reporting rules; verify.</t>
        </is>
      </c>
      <c r="V84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85">
      <c r="A85" s="2" t="inlineStr">
        <is>
          <t>PKG0033</t>
        </is>
      </c>
      <c r="B85" s="2" t="inlineStr">
        <is>
          <t>Wrap-around corrugated case for 6 x 1.5 L bottles</t>
        </is>
      </c>
      <c r="C85" s="2" t="inlineStr">
        <is>
          <t>Corrugated board</t>
        </is>
      </c>
      <c r="D85" s="2" t="inlineStr">
        <is>
          <t>PA.RECYCLED</t>
        </is>
      </c>
      <c r="E85" s="2" t="inlineStr">
        <is>
          <t>Paper-cardboard (recyclable fibre)</t>
        </is>
      </c>
      <c r="F85" s="2" t="inlineStr">
        <is>
          <t>Paper &amp; Cardboard &gt; Paper-cardboard (recyclable fibre)</t>
        </is>
      </c>
      <c r="G85" s="4" t="n">
        <v>450</v>
      </c>
      <c r="H85" s="3" t="n"/>
      <c r="I85" s="2" t="inlineStr">
        <is>
          <t>Paper and card</t>
        </is>
      </c>
      <c r="J85" s="2" t="inlineStr"/>
      <c r="K85" s="5" t="n">
        <v>0.196</v>
      </c>
      <c r="L85" s="6" t="n">
        <v>0.0882</v>
      </c>
      <c r="M85" s="2" t="inlineStr">
        <is>
          <t>Papier en karton</t>
        </is>
      </c>
      <c r="N85" s="2" t="inlineStr"/>
      <c r="O85" s="5" t="n">
        <v>0.017</v>
      </c>
      <c r="P85" s="7" t="n">
        <v>0.007650000000000001</v>
      </c>
      <c r="Q85" s="2" t="inlineStr">
        <is>
          <t>Paper-cardboard</t>
        </is>
      </c>
      <c r="R85" s="2" t="inlineStr">
        <is>
          <t>002</t>
        </is>
      </c>
      <c r="S85" s="5" t="n">
        <v>0.1503</v>
      </c>
      <c r="T85" s="7" t="n">
        <v>0.067635</v>
      </c>
      <c r="U85" s="2" t="inlineStr"/>
      <c r="V85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86">
      <c r="A86" s="2" t="inlineStr">
        <is>
          <t>PKG0033</t>
        </is>
      </c>
      <c r="B86" s="2" t="inlineStr">
        <is>
          <t>Wrap-around corrugated case for 6 x 1.5 L bottles</t>
        </is>
      </c>
      <c r="C86" s="2" t="inlineStr">
        <is>
          <t>Inks/adhesive</t>
        </is>
      </c>
      <c r="D86" s="2" t="inlineStr">
        <is>
          <t>OT.OTHER_PACK</t>
        </is>
      </c>
      <c r="E86" s="2" t="inlineStr">
        <is>
          <t>Packaging of other materials</t>
        </is>
      </c>
      <c r="F86" s="2" t="inlineStr">
        <is>
          <t>Other &gt; Packaging of other materials</t>
        </is>
      </c>
      <c r="G86" s="4" t="n">
        <v>3</v>
      </c>
      <c r="H86" s="3" t="n"/>
      <c r="I86" s="2" t="inlineStr">
        <is>
          <t>Other</t>
        </is>
      </c>
      <c r="J86" s="2" t="inlineStr"/>
      <c r="K86" s="5" t="n">
        <v>0.259</v>
      </c>
      <c r="L86" s="6" t="n">
        <v>0.000777</v>
      </c>
      <c r="M86" s="2" t="inlineStr">
        <is>
          <t>Andere materiaalsoorten</t>
        </is>
      </c>
      <c r="N86" s="2" t="inlineStr"/>
      <c r="O86" s="5" t="n">
        <v>0.015</v>
      </c>
      <c r="P86" s="7" t="n">
        <v>4.5e-05</v>
      </c>
      <c r="Q86" s="2" t="inlineStr">
        <is>
          <t>Other valorised packaging (textile, rubber, etc.)</t>
        </is>
      </c>
      <c r="R86" s="2" t="inlineStr">
        <is>
          <t>016-03</t>
        </is>
      </c>
      <c r="S86" s="5" t="n">
        <v>3.9092</v>
      </c>
      <c r="T86" s="7" t="n">
        <v>0.0117276</v>
      </c>
      <c r="U86" s="2" t="inlineStr">
        <is>
          <t>Often excluded/immaterial (inks/adhesives) depending on scheme reporting rules; verify.</t>
        </is>
      </c>
      <c r="V86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87">
      <c r="A87" s="2" t="inlineStr">
        <is>
          <t>PKG0034</t>
        </is>
      </c>
      <c r="B87" s="2" t="inlineStr">
        <is>
          <t>Corrugated divider insert for 12 bottles</t>
        </is>
      </c>
      <c r="C87" s="2" t="inlineStr">
        <is>
          <t>Corrugated board</t>
        </is>
      </c>
      <c r="D87" s="2" t="inlineStr">
        <is>
          <t>PA.RECYCLED</t>
        </is>
      </c>
      <c r="E87" s="2" t="inlineStr">
        <is>
          <t>Paper-cardboard (recyclable fibre)</t>
        </is>
      </c>
      <c r="F87" s="2" t="inlineStr">
        <is>
          <t>Paper &amp; Cardboard &gt; Paper-cardboard (recyclable fibre)</t>
        </is>
      </c>
      <c r="G87" s="4" t="n">
        <v>120</v>
      </c>
      <c r="H87" s="3" t="n"/>
      <c r="I87" s="2" t="inlineStr">
        <is>
          <t>Paper and card</t>
        </is>
      </c>
      <c r="J87" s="2" t="inlineStr"/>
      <c r="K87" s="5" t="n">
        <v>0.196</v>
      </c>
      <c r="L87" s="6" t="n">
        <v>0.02352</v>
      </c>
      <c r="M87" s="2" t="inlineStr">
        <is>
          <t>Papier en karton</t>
        </is>
      </c>
      <c r="N87" s="2" t="inlineStr"/>
      <c r="O87" s="5" t="n">
        <v>0.017</v>
      </c>
      <c r="P87" s="7" t="n">
        <v>0.00204</v>
      </c>
      <c r="Q87" s="2" t="inlineStr">
        <is>
          <t>Paper-cardboard</t>
        </is>
      </c>
      <c r="R87" s="2" t="inlineStr">
        <is>
          <t>002</t>
        </is>
      </c>
      <c r="S87" s="5" t="n">
        <v>0.1503</v>
      </c>
      <c r="T87" s="7" t="n">
        <v>0.018036</v>
      </c>
      <c r="U87" s="2" t="inlineStr"/>
      <c r="V87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88">
      <c r="A88" s="2" t="inlineStr">
        <is>
          <t>PKG0035</t>
        </is>
      </c>
      <c r="B88" s="2" t="inlineStr">
        <is>
          <t>Shrink film multipack for 6 x 500 mL PET bottles</t>
        </is>
      </c>
      <c r="C88" s="2" t="inlineStr">
        <is>
          <t>Shrink film</t>
        </is>
      </c>
      <c r="D88" s="2" t="inlineStr">
        <is>
          <t>PL.PE.FILM</t>
        </is>
      </c>
      <c r="E88" s="2" t="inlineStr">
        <is>
          <t>PE films</t>
        </is>
      </c>
      <c r="F88" s="2" t="inlineStr">
        <is>
          <t>Plastics &gt; Flexible plastics (films) &gt; PE films</t>
        </is>
      </c>
      <c r="G88" s="4" t="n">
        <v>14</v>
      </c>
      <c r="H88" s="3" t="n"/>
      <c r="I88" s="2" t="inlineStr">
        <is>
          <t>Plastic</t>
        </is>
      </c>
      <c r="J88" s="2" t="inlineStr">
        <is>
          <t>PE.FILM</t>
        </is>
      </c>
      <c r="K88" s="5" t="n">
        <v>0.423</v>
      </c>
      <c r="L88" s="6" t="n">
        <v>0.005922</v>
      </c>
      <c r="M88" s="2" t="inlineStr">
        <is>
          <t>Plastic flexibel/ niet gespecificeerd</t>
        </is>
      </c>
      <c r="N88" s="2" t="inlineStr"/>
      <c r="O88" s="5" t="n">
        <v>1.32</v>
      </c>
      <c r="P88" s="7" t="n">
        <v>0.01848</v>
      </c>
      <c r="Q88" s="2" t="inlineStr">
        <is>
          <t>PE – Films</t>
        </is>
      </c>
      <c r="R88" s="2" t="inlineStr">
        <is>
          <t>011-07</t>
        </is>
      </c>
      <c r="S88" s="5" t="n">
        <v>1.2844</v>
      </c>
      <c r="T88" s="7" t="n">
        <v>0.0179816</v>
      </c>
      <c r="U88" s="2" t="inlineStr">
        <is>
          <t>NL plastic type inferred (rigid vs flexible) from material/component keywords.</t>
        </is>
      </c>
      <c r="V88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89">
      <c r="A89" s="2" t="inlineStr">
        <is>
          <t>PKG0036</t>
        </is>
      </c>
      <c r="B89" s="2" t="inlineStr">
        <is>
          <t>Full-body shrink sleeve label (for PET bottle)</t>
        </is>
      </c>
      <c r="C89" s="2" t="inlineStr">
        <is>
          <t>Sleeve film</t>
        </is>
      </c>
      <c r="D89" s="2" t="inlineStr">
        <is>
          <t>PL.OTHER</t>
        </is>
      </c>
      <c r="E89" s="2" t="inlineStr">
        <is>
          <t>Other / mixed plastics</t>
        </is>
      </c>
      <c r="F89" s="2" t="inlineStr">
        <is>
          <t>Plastics &gt; Other / mixed plastics</t>
        </is>
      </c>
      <c r="G89" s="4" t="n">
        <v>3</v>
      </c>
      <c r="H89" s="3" t="n"/>
      <c r="I89" s="2" t="inlineStr">
        <is>
          <t>Plastic</t>
        </is>
      </c>
      <c r="J89" s="2" t="inlineStr">
        <is>
          <t>OTHER</t>
        </is>
      </c>
      <c r="K89" s="5" t="n">
        <v>0.423</v>
      </c>
      <c r="L89" s="6" t="n">
        <v>0.001269</v>
      </c>
      <c r="M89" s="2" t="inlineStr">
        <is>
          <t>Plastic flexibel/ niet gespecificeerd</t>
        </is>
      </c>
      <c r="N89" s="2" t="inlineStr"/>
      <c r="O89" s="5" t="n">
        <v>1.32</v>
      </c>
      <c r="P89" s="7" t="n">
        <v>0.00396</v>
      </c>
      <c r="Q89" s="2" t="inlineStr">
        <is>
          <t>Other plastic packaging – whether or not composite – where plastic accounts for the greatest weight</t>
        </is>
      </c>
      <c r="R89" s="2" t="inlineStr">
        <is>
          <t>014-03</t>
        </is>
      </c>
      <c r="S89" s="5" t="n">
        <v>3.9092</v>
      </c>
      <c r="T89" s="7" t="n">
        <v>0.0117276</v>
      </c>
      <c r="U89" s="2" t="inlineStr">
        <is>
          <t>NL plastic type inferred (rigid vs flexible) from material/component keywords.</t>
        </is>
      </c>
      <c r="V89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90">
      <c r="A90" s="2" t="inlineStr">
        <is>
          <t>PKG0036</t>
        </is>
      </c>
      <c r="B90" s="2" t="inlineStr">
        <is>
          <t>Full-body shrink sleeve label (for PET bottle)</t>
        </is>
      </c>
      <c r="C90" s="2" t="inlineStr">
        <is>
          <t>Inks</t>
        </is>
      </c>
      <c r="D90" s="2" t="inlineStr">
        <is>
          <t>OT.OTHER_PACK</t>
        </is>
      </c>
      <c r="E90" s="2" t="inlineStr">
        <is>
          <t>Packaging of other materials</t>
        </is>
      </c>
      <c r="F90" s="2" t="inlineStr">
        <is>
          <t>Other &gt; Packaging of other materials</t>
        </is>
      </c>
      <c r="G90" s="4" t="n">
        <v>0.2</v>
      </c>
      <c r="H90" s="3" t="n"/>
      <c r="I90" s="2" t="inlineStr">
        <is>
          <t>Other</t>
        </is>
      </c>
      <c r="J90" s="2" t="inlineStr"/>
      <c r="K90" s="5" t="n">
        <v>0.259</v>
      </c>
      <c r="L90" s="6" t="n">
        <v>5.180000000000001e-05</v>
      </c>
      <c r="M90" s="2" t="inlineStr">
        <is>
          <t>Andere materiaalsoorten</t>
        </is>
      </c>
      <c r="N90" s="2" t="inlineStr"/>
      <c r="O90" s="5" t="n">
        <v>0.015</v>
      </c>
      <c r="P90" s="7" t="n">
        <v>3e-06</v>
      </c>
      <c r="Q90" s="2" t="inlineStr">
        <is>
          <t>Other valorised packaging (textile, rubber, etc.)</t>
        </is>
      </c>
      <c r="R90" s="2" t="inlineStr">
        <is>
          <t>016-03</t>
        </is>
      </c>
      <c r="S90" s="5" t="n">
        <v>3.9092</v>
      </c>
      <c r="T90" s="7" t="n">
        <v>0.00078184</v>
      </c>
      <c r="U90" s="2" t="inlineStr">
        <is>
          <t>Often excluded/immaterial (inks/adhesives) depending on scheme reporting rules; verify.</t>
        </is>
      </c>
      <c r="V90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91">
      <c r="A91" s="2" t="inlineStr">
        <is>
          <t>PKG0037</t>
        </is>
      </c>
      <c r="B91" s="2" t="inlineStr">
        <is>
          <t>Paper pressure-sensitive label (jar) + adhesive</t>
        </is>
      </c>
      <c r="C91" s="2" t="inlineStr">
        <is>
          <t>Label paper</t>
        </is>
      </c>
      <c r="D91" s="2" t="inlineStr">
        <is>
          <t>PA.MONO</t>
        </is>
      </c>
      <c r="E91" s="2" t="inlineStr">
        <is>
          <t>Paper/cardboard — mono-material</t>
        </is>
      </c>
      <c r="F91" s="2" t="inlineStr">
        <is>
          <t>Paper &amp; Cardboard &gt; Paper/cardboard — mono-material</t>
        </is>
      </c>
      <c r="G91" s="4" t="n">
        <v>1</v>
      </c>
      <c r="H91" s="3" t="n"/>
      <c r="I91" s="2" t="inlineStr">
        <is>
          <t>Paper and card</t>
        </is>
      </c>
      <c r="J91" s="2" t="inlineStr"/>
      <c r="K91" s="5" t="n">
        <v>0.196</v>
      </c>
      <c r="L91" s="6" t="n">
        <v>0.000196</v>
      </c>
      <c r="M91" s="2" t="inlineStr">
        <is>
          <t>Papier en karton</t>
        </is>
      </c>
      <c r="N91" s="2" t="inlineStr"/>
      <c r="O91" s="5" t="n">
        <v>0.017</v>
      </c>
      <c r="P91" s="7" t="n">
        <v>1.7e-05</v>
      </c>
      <c r="Q91" s="2" t="inlineStr">
        <is>
          <t>Paper-cardboard</t>
        </is>
      </c>
      <c r="R91" s="2" t="inlineStr">
        <is>
          <t>002</t>
        </is>
      </c>
      <c r="S91" s="5" t="n">
        <v>0.1503</v>
      </c>
      <c r="T91" s="7" t="n">
        <v>0.0001503</v>
      </c>
      <c r="U91" s="2" t="inlineStr"/>
      <c r="V91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92">
      <c r="A92" s="2" t="inlineStr">
        <is>
          <t>PKG0037</t>
        </is>
      </c>
      <c r="B92" s="2" t="inlineStr">
        <is>
          <t>Paper pressure-sensitive label (jar) + adhesive</t>
        </is>
      </c>
      <c r="C92" s="2" t="inlineStr">
        <is>
          <t>Adhesive/liner</t>
        </is>
      </c>
      <c r="D92" s="2" t="inlineStr">
        <is>
          <t>OT.OTHER_PACK</t>
        </is>
      </c>
      <c r="E92" s="2" t="inlineStr">
        <is>
          <t>Packaging of other materials</t>
        </is>
      </c>
      <c r="F92" s="2" t="inlineStr">
        <is>
          <t>Other &gt; Packaging of other materials</t>
        </is>
      </c>
      <c r="G92" s="4" t="n">
        <v>0.2</v>
      </c>
      <c r="H92" s="3" t="n"/>
      <c r="I92" s="2" t="inlineStr">
        <is>
          <t>Other</t>
        </is>
      </c>
      <c r="J92" s="2" t="inlineStr"/>
      <c r="K92" s="5" t="n">
        <v>0.259</v>
      </c>
      <c r="L92" s="6" t="n">
        <v>5.180000000000001e-05</v>
      </c>
      <c r="M92" s="2" t="inlineStr">
        <is>
          <t>Andere materiaalsoorten</t>
        </is>
      </c>
      <c r="N92" s="2" t="inlineStr"/>
      <c r="O92" s="5" t="n">
        <v>0.015</v>
      </c>
      <c r="P92" s="7" t="n">
        <v>3e-06</v>
      </c>
      <c r="Q92" s="2" t="inlineStr">
        <is>
          <t>Other valorised packaging (textile, rubber, etc.)</t>
        </is>
      </c>
      <c r="R92" s="2" t="inlineStr">
        <is>
          <t>016-03</t>
        </is>
      </c>
      <c r="S92" s="5" t="n">
        <v>3.9092</v>
      </c>
      <c r="T92" s="7" t="n">
        <v>0.00078184</v>
      </c>
      <c r="U92" s="2" t="inlineStr">
        <is>
          <t>Often excluded/immaterial (inks/adhesives) depending on scheme reporting rules; verify.</t>
        </is>
      </c>
      <c r="V92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93">
      <c r="A93" s="2" t="inlineStr">
        <is>
          <t>PKG0038</t>
        </is>
      </c>
      <c r="B93" s="2" t="inlineStr">
        <is>
          <t>POS floor display unit (corrugated)</t>
        </is>
      </c>
      <c r="C93" s="2" t="inlineStr">
        <is>
          <t>Corrugated board</t>
        </is>
      </c>
      <c r="D93" s="2" t="inlineStr">
        <is>
          <t>PA.RECYCLED</t>
        </is>
      </c>
      <c r="E93" s="2" t="inlineStr">
        <is>
          <t>Paper-cardboard (recyclable fibre)</t>
        </is>
      </c>
      <c r="F93" s="2" t="inlineStr">
        <is>
          <t>Paper &amp; Cardboard &gt; Paper-cardboard (recyclable fibre)</t>
        </is>
      </c>
      <c r="G93" s="4" t="n">
        <v>2200</v>
      </c>
      <c r="H93" s="3" t="n"/>
      <c r="I93" s="2" t="inlineStr">
        <is>
          <t>Paper and card</t>
        </is>
      </c>
      <c r="J93" s="2" t="inlineStr"/>
      <c r="K93" s="5" t="n">
        <v>0.196</v>
      </c>
      <c r="L93" s="6" t="n">
        <v>0.4312</v>
      </c>
      <c r="M93" s="2" t="inlineStr">
        <is>
          <t>Papier en karton</t>
        </is>
      </c>
      <c r="N93" s="2" t="inlineStr"/>
      <c r="O93" s="5" t="n">
        <v>0.017</v>
      </c>
      <c r="P93" s="7" t="n">
        <v>0.0374</v>
      </c>
      <c r="Q93" s="2" t="inlineStr">
        <is>
          <t>Paper-cardboard</t>
        </is>
      </c>
      <c r="R93" s="2" t="inlineStr">
        <is>
          <t>002</t>
        </is>
      </c>
      <c r="S93" s="5" t="n">
        <v>0.1503</v>
      </c>
      <c r="T93" s="7" t="n">
        <v>0.33066</v>
      </c>
      <c r="U93" s="2" t="inlineStr"/>
      <c r="V93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94">
      <c r="A94" s="2" t="inlineStr">
        <is>
          <t>PKG0038</t>
        </is>
      </c>
      <c r="B94" s="2" t="inlineStr">
        <is>
          <t>POS floor display unit (corrugated)</t>
        </is>
      </c>
      <c r="C94" s="2" t="inlineStr">
        <is>
          <t>Inks/adhesive</t>
        </is>
      </c>
      <c r="D94" s="2" t="inlineStr">
        <is>
          <t>OT.OTHER_PACK</t>
        </is>
      </c>
      <c r="E94" s="2" t="inlineStr">
        <is>
          <t>Packaging of other materials</t>
        </is>
      </c>
      <c r="F94" s="2" t="inlineStr">
        <is>
          <t>Other &gt; Packaging of other materials</t>
        </is>
      </c>
      <c r="G94" s="4" t="n">
        <v>10</v>
      </c>
      <c r="H94" s="3" t="n"/>
      <c r="I94" s="2" t="inlineStr">
        <is>
          <t>Other</t>
        </is>
      </c>
      <c r="J94" s="2" t="inlineStr"/>
      <c r="K94" s="5" t="n">
        <v>0.259</v>
      </c>
      <c r="L94" s="6" t="n">
        <v>0.00259</v>
      </c>
      <c r="M94" s="2" t="inlineStr">
        <is>
          <t>Andere materiaalsoorten</t>
        </is>
      </c>
      <c r="N94" s="2" t="inlineStr"/>
      <c r="O94" s="5" t="n">
        <v>0.015</v>
      </c>
      <c r="P94" s="7" t="n">
        <v>0.00015</v>
      </c>
      <c r="Q94" s="2" t="inlineStr">
        <is>
          <t>Other valorised packaging (textile, rubber, etc.)</t>
        </is>
      </c>
      <c r="R94" s="2" t="inlineStr">
        <is>
          <t>016-03</t>
        </is>
      </c>
      <c r="S94" s="5" t="n">
        <v>3.9092</v>
      </c>
      <c r="T94" s="7" t="n">
        <v>0.039092</v>
      </c>
      <c r="U94" s="2" t="inlineStr">
        <is>
          <t>Often excluded/immaterial (inks/adhesives) depending on scheme reporting rules; verify.</t>
        </is>
      </c>
      <c r="V94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95">
      <c r="A95" s="2" t="inlineStr">
        <is>
          <t>PKG0039</t>
        </is>
      </c>
      <c r="B95" s="2" t="inlineStr">
        <is>
          <t>Counter-top display carton</t>
        </is>
      </c>
      <c r="C95" s="2" t="inlineStr">
        <is>
          <t>Paperboard/corrugated</t>
        </is>
      </c>
      <c r="D95" s="2" t="inlineStr">
        <is>
          <t>PA.RECYCLED</t>
        </is>
      </c>
      <c r="E95" s="2" t="inlineStr">
        <is>
          <t>Paper-cardboard (recyclable fibre)</t>
        </is>
      </c>
      <c r="F95" s="2" t="inlineStr">
        <is>
          <t>Paper &amp; Cardboard &gt; Paper-cardboard (recyclable fibre)</t>
        </is>
      </c>
      <c r="G95" s="4" t="n">
        <v>350</v>
      </c>
      <c r="H95" s="3" t="n"/>
      <c r="I95" s="2" t="inlineStr">
        <is>
          <t>Paper and card</t>
        </is>
      </c>
      <c r="J95" s="2" t="inlineStr"/>
      <c r="K95" s="5" t="n">
        <v>0.196</v>
      </c>
      <c r="L95" s="6" t="n">
        <v>0.06859999999999999</v>
      </c>
      <c r="M95" s="2" t="inlineStr">
        <is>
          <t>Papier en karton</t>
        </is>
      </c>
      <c r="N95" s="2" t="inlineStr"/>
      <c r="O95" s="5" t="n">
        <v>0.017</v>
      </c>
      <c r="P95" s="7" t="n">
        <v>0.00595</v>
      </c>
      <c r="Q95" s="2" t="inlineStr">
        <is>
          <t>Paper-cardboard</t>
        </is>
      </c>
      <c r="R95" s="2" t="inlineStr">
        <is>
          <t>002</t>
        </is>
      </c>
      <c r="S95" s="5" t="n">
        <v>0.1503</v>
      </c>
      <c r="T95" s="7" t="n">
        <v>0.05260499999999999</v>
      </c>
      <c r="U95" s="2" t="inlineStr"/>
      <c r="V95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96">
      <c r="A96" s="2" t="inlineStr">
        <is>
          <t>PKG0039</t>
        </is>
      </c>
      <c r="B96" s="2" t="inlineStr">
        <is>
          <t>Counter-top display carton</t>
        </is>
      </c>
      <c r="C96" s="2" t="inlineStr">
        <is>
          <t>Inks/adhesive</t>
        </is>
      </c>
      <c r="D96" s="2" t="inlineStr">
        <is>
          <t>OT.OTHER_PACK</t>
        </is>
      </c>
      <c r="E96" s="2" t="inlineStr">
        <is>
          <t>Packaging of other materials</t>
        </is>
      </c>
      <c r="F96" s="2" t="inlineStr">
        <is>
          <t>Other &gt; Packaging of other materials</t>
        </is>
      </c>
      <c r="G96" s="4" t="n">
        <v>2</v>
      </c>
      <c r="H96" s="3" t="n"/>
      <c r="I96" s="2" t="inlineStr">
        <is>
          <t>Other</t>
        </is>
      </c>
      <c r="J96" s="2" t="inlineStr"/>
      <c r="K96" s="5" t="n">
        <v>0.259</v>
      </c>
      <c r="L96" s="6" t="n">
        <v>0.000518</v>
      </c>
      <c r="M96" s="2" t="inlineStr">
        <is>
          <t>Andere materiaalsoorten</t>
        </is>
      </c>
      <c r="N96" s="2" t="inlineStr"/>
      <c r="O96" s="5" t="n">
        <v>0.015</v>
      </c>
      <c r="P96" s="7" t="n">
        <v>3e-05</v>
      </c>
      <c r="Q96" s="2" t="inlineStr">
        <is>
          <t>Other valorised packaging (textile, rubber, etc.)</t>
        </is>
      </c>
      <c r="R96" s="2" t="inlineStr">
        <is>
          <t>016-03</t>
        </is>
      </c>
      <c r="S96" s="5" t="n">
        <v>3.9092</v>
      </c>
      <c r="T96" s="7" t="n">
        <v>0.0078184</v>
      </c>
      <c r="U96" s="2" t="inlineStr">
        <is>
          <t>Often excluded/immaterial (inks/adhesives) depending on scheme reporting rules; verify.</t>
        </is>
      </c>
      <c r="V96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97">
      <c r="A97" s="2" t="inlineStr">
        <is>
          <t>PKG0040</t>
        </is>
      </c>
      <c r="B97" s="2" t="inlineStr">
        <is>
          <t>Paperboard hot cup 12 oz + plastic lid</t>
        </is>
      </c>
      <c r="C97" s="2" t="inlineStr">
        <is>
          <t>Cup paperboard</t>
        </is>
      </c>
      <c r="D97" s="2" t="inlineStr">
        <is>
          <t>PA.MONO</t>
        </is>
      </c>
      <c r="E97" s="2" t="inlineStr">
        <is>
          <t>Paper/cardboard — mono-material</t>
        </is>
      </c>
      <c r="F97" s="2" t="inlineStr">
        <is>
          <t>Paper &amp; Cardboard &gt; Paper/cardboard — mono-material</t>
        </is>
      </c>
      <c r="G97" s="4" t="n">
        <v>12</v>
      </c>
      <c r="H97" s="3" t="n"/>
      <c r="I97" s="2" t="inlineStr">
        <is>
          <t>Paper and card</t>
        </is>
      </c>
      <c r="J97" s="2" t="inlineStr"/>
      <c r="K97" s="5" t="n">
        <v>0.196</v>
      </c>
      <c r="L97" s="6" t="n">
        <v>0.002352</v>
      </c>
      <c r="M97" s="2" t="inlineStr">
        <is>
          <t>Papier en karton</t>
        </is>
      </c>
      <c r="N97" s="2" t="inlineStr"/>
      <c r="O97" s="5" t="n">
        <v>0.017</v>
      </c>
      <c r="P97" s="7" t="n">
        <v>0.000204</v>
      </c>
      <c r="Q97" s="2" t="inlineStr">
        <is>
          <t>Paper-cardboard</t>
        </is>
      </c>
      <c r="R97" s="2" t="inlineStr">
        <is>
          <t>002</t>
        </is>
      </c>
      <c r="S97" s="5" t="n">
        <v>0.1503</v>
      </c>
      <c r="T97" s="7" t="n">
        <v>0.0018036</v>
      </c>
      <c r="U97" s="2" t="inlineStr"/>
      <c r="V97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98">
      <c r="A98" s="2" t="inlineStr">
        <is>
          <t>PKG0040</t>
        </is>
      </c>
      <c r="B98" s="2" t="inlineStr">
        <is>
          <t>Paperboard hot cup 12 oz + plastic lid</t>
        </is>
      </c>
      <c r="C98" s="2" t="inlineStr">
        <is>
          <t>Cup lining</t>
        </is>
      </c>
      <c r="D98" s="2" t="inlineStr">
        <is>
          <t>PL.PE.FILM</t>
        </is>
      </c>
      <c r="E98" s="2" t="inlineStr">
        <is>
          <t>PE films</t>
        </is>
      </c>
      <c r="F98" s="2" t="inlineStr">
        <is>
          <t>Plastics &gt; Flexible plastics (films) &gt; PE films</t>
        </is>
      </c>
      <c r="G98" s="4" t="n">
        <v>1.2</v>
      </c>
      <c r="H98" s="3" t="n"/>
      <c r="I98" s="2" t="inlineStr">
        <is>
          <t>Plastic</t>
        </is>
      </c>
      <c r="J98" s="2" t="inlineStr">
        <is>
          <t>PE.FILM</t>
        </is>
      </c>
      <c r="K98" s="5" t="n">
        <v>0.423</v>
      </c>
      <c r="L98" s="6" t="n">
        <v>0.0005076</v>
      </c>
      <c r="M98" s="2" t="inlineStr">
        <is>
          <t>Plastic flexibel/ niet gespecificeerd</t>
        </is>
      </c>
      <c r="N98" s="2" t="inlineStr"/>
      <c r="O98" s="5" t="n">
        <v>1.32</v>
      </c>
      <c r="P98" s="7" t="n">
        <v>0.001584</v>
      </c>
      <c r="Q98" s="2" t="inlineStr">
        <is>
          <t>PE – Films</t>
        </is>
      </c>
      <c r="R98" s="2" t="inlineStr">
        <is>
          <t>011-07</t>
        </is>
      </c>
      <c r="S98" s="5" t="n">
        <v>1.2844</v>
      </c>
      <c r="T98" s="7" t="n">
        <v>0.00154128</v>
      </c>
      <c r="U98" s="2" t="inlineStr">
        <is>
          <t>NL plastic type inferred (rigid vs flexible) from material/component keywords.</t>
        </is>
      </c>
      <c r="V98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99">
      <c r="A99" s="2" t="inlineStr">
        <is>
          <t>PKG0040</t>
        </is>
      </c>
      <c r="B99" s="2" t="inlineStr">
        <is>
          <t>Paperboard hot cup 12 oz + plastic lid</t>
        </is>
      </c>
      <c r="C99" s="2" t="inlineStr">
        <is>
          <t>Lid</t>
        </is>
      </c>
      <c r="D99" s="2" t="inlineStr">
        <is>
          <t>PL.PP.RIGID</t>
        </is>
      </c>
      <c r="E99" s="2" t="inlineStr">
        <is>
          <t>PP rigid (bottles, caps etc.)</t>
        </is>
      </c>
      <c r="F99" s="2" t="inlineStr">
        <is>
          <t>Plastics &gt; Rigid plastics &gt; PP rigid (bottles, caps etc.)</t>
        </is>
      </c>
      <c r="G99" s="4" t="n">
        <v>3</v>
      </c>
      <c r="H99" s="3" t="n"/>
      <c r="I99" s="2" t="inlineStr">
        <is>
          <t>Plastic</t>
        </is>
      </c>
      <c r="J99" s="2" t="inlineStr">
        <is>
          <t>PP.RIGID</t>
        </is>
      </c>
      <c r="K99" s="5" t="n">
        <v>0.423</v>
      </c>
      <c r="L99" s="6" t="n">
        <v>0.001269</v>
      </c>
      <c r="M99" s="2" t="inlineStr">
        <is>
          <t>Plastic vormvast</t>
        </is>
      </c>
      <c r="N99" s="2" t="inlineStr"/>
      <c r="O99" s="5" t="n">
        <v>1.22</v>
      </c>
      <c r="P99" s="7" t="n">
        <v>0.00366</v>
      </c>
      <c r="Q99" s="2" t="inlineStr">
        <is>
          <t>PP – Bottles, flasks and other rigid packaging</t>
        </is>
      </c>
      <c r="R99" s="2" t="inlineStr">
        <is>
          <t>011-01</t>
        </is>
      </c>
      <c r="S99" s="5" t="n">
        <v>0.8048999999999999</v>
      </c>
      <c r="T99" s="7" t="n">
        <v>0.0024147</v>
      </c>
      <c r="U99" s="2" t="inlineStr">
        <is>
          <t>NL plastic type inferred (rigid vs flexible) from material/component keywords.</t>
        </is>
      </c>
      <c r="V99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00">
      <c r="A100" s="2" t="inlineStr">
        <is>
          <t>PKG0041</t>
        </is>
      </c>
      <c r="B100" s="2" t="inlineStr">
        <is>
          <t>Aluminium foil tray 1 L + board lid</t>
        </is>
      </c>
      <c r="C100" s="2" t="inlineStr">
        <is>
          <t>Foil tray</t>
        </is>
      </c>
      <c r="D100" s="2" t="inlineStr">
        <is>
          <t>ME.ALU.THIN</t>
        </is>
      </c>
      <c r="E100" s="2" t="inlineStr">
        <is>
          <t>Aluminium (&lt;50 μm)</t>
        </is>
      </c>
      <c r="F100" s="2" t="inlineStr">
        <is>
          <t>Metals &gt; Aluminium &gt; Aluminium (&lt;50 μm)</t>
        </is>
      </c>
      <c r="G100" s="4" t="n">
        <v>18</v>
      </c>
      <c r="H100" s="3" t="n"/>
      <c r="I100" s="2" t="inlineStr">
        <is>
          <t>Aluminium</t>
        </is>
      </c>
      <c r="J100" s="2" t="inlineStr"/>
      <c r="K100" s="5" t="n">
        <v>0.266</v>
      </c>
      <c r="L100" s="6" t="n">
        <v>0.004788</v>
      </c>
      <c r="M100" s="2" t="inlineStr">
        <is>
          <t>Aluminium</t>
        </is>
      </c>
      <c r="N100" s="2" t="inlineStr"/>
      <c r="O100" s="5" t="n">
        <v>0.3</v>
      </c>
      <c r="P100" s="7" t="n">
        <v>0.005399999999999999</v>
      </c>
      <c r="Q100" s="2" t="inlineStr">
        <is>
          <t>Aluminium &lt; 50μm (≥ 50% Alu)</t>
        </is>
      </c>
      <c r="R100" s="2" t="inlineStr">
        <is>
          <t>013</t>
        </is>
      </c>
      <c r="S100" s="5" t="n">
        <v>0.0481</v>
      </c>
      <c r="T100" s="7" t="n">
        <v>0.0008657999999999999</v>
      </c>
      <c r="U100" s="2" t="inlineStr"/>
      <c r="V100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01">
      <c r="A101" s="2" t="inlineStr">
        <is>
          <t>PKG0041</t>
        </is>
      </c>
      <c r="B101" s="2" t="inlineStr">
        <is>
          <t>Aluminium foil tray 1 L + board lid</t>
        </is>
      </c>
      <c r="C101" s="2" t="inlineStr">
        <is>
          <t>Lid board</t>
        </is>
      </c>
      <c r="D101" s="2" t="inlineStr">
        <is>
          <t>PA.MONO</t>
        </is>
      </c>
      <c r="E101" s="2" t="inlineStr">
        <is>
          <t>Paper/cardboard — mono-material</t>
        </is>
      </c>
      <c r="F101" s="2" t="inlineStr">
        <is>
          <t>Paper &amp; Cardboard &gt; Paper/cardboard — mono-material</t>
        </is>
      </c>
      <c r="G101" s="4" t="n">
        <v>4</v>
      </c>
      <c r="H101" s="3" t="n"/>
      <c r="I101" s="2" t="inlineStr">
        <is>
          <t>Paper and card</t>
        </is>
      </c>
      <c r="J101" s="2" t="inlineStr"/>
      <c r="K101" s="5" t="n">
        <v>0.196</v>
      </c>
      <c r="L101" s="6" t="n">
        <v>0.0007840000000000001</v>
      </c>
      <c r="M101" s="2" t="inlineStr">
        <is>
          <t>Papier en karton</t>
        </is>
      </c>
      <c r="N101" s="2" t="inlineStr"/>
      <c r="O101" s="5" t="n">
        <v>0.017</v>
      </c>
      <c r="P101" s="7" t="n">
        <v>6.800000000000001e-05</v>
      </c>
      <c r="Q101" s="2" t="inlineStr">
        <is>
          <t>Paper-cardboard</t>
        </is>
      </c>
      <c r="R101" s="2" t="inlineStr">
        <is>
          <t>002</t>
        </is>
      </c>
      <c r="S101" s="5" t="n">
        <v>0.1503</v>
      </c>
      <c r="T101" s="7" t="n">
        <v>0.0006012</v>
      </c>
      <c r="U101" s="2" t="inlineStr"/>
      <c r="V101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02">
      <c r="A102" s="2" t="inlineStr">
        <is>
          <t>PKG0042</t>
        </is>
      </c>
      <c r="B102" s="2" t="inlineStr">
        <is>
          <t>CPET ovenable tray (single portion) + lidding film</t>
        </is>
      </c>
      <c r="C102" s="2" t="inlineStr">
        <is>
          <t>Tray</t>
        </is>
      </c>
      <c r="D102" s="2" t="inlineStr">
        <is>
          <t>PL.PET.THERMO.OPAQUE</t>
        </is>
      </c>
      <c r="E102" s="2" t="inlineStr">
        <is>
          <t>PET thermoformed — opaque / cPET</t>
        </is>
      </c>
      <c r="F102" s="2" t="inlineStr">
        <is>
          <t>Plastics &gt; Rigid plastics &gt; PET (polyethylene terephthalate) &gt; PET thermoformed — opaque / cPET</t>
        </is>
      </c>
      <c r="G102" s="4" t="n">
        <v>28</v>
      </c>
      <c r="H102" s="3" t="n"/>
      <c r="I102" s="2" t="inlineStr">
        <is>
          <t>Plastic</t>
        </is>
      </c>
      <c r="J102" s="2" t="inlineStr">
        <is>
          <t>PET.THERMO.OPAQUE</t>
        </is>
      </c>
      <c r="K102" s="5" t="n">
        <v>0.423</v>
      </c>
      <c r="L102" s="6" t="n">
        <v>0.011844</v>
      </c>
      <c r="M102" s="2" t="inlineStr">
        <is>
          <t>Plastic flexibel/ niet gespecificeerd</t>
        </is>
      </c>
      <c r="N102" s="2" t="inlineStr"/>
      <c r="O102" s="5" t="n">
        <v>1.32</v>
      </c>
      <c r="P102" s="7" t="n">
        <v>0.03696</v>
      </c>
      <c r="Q102" s="2" t="inlineStr">
        <is>
          <t>PET – Hard packaging elements other than bottles and flasks - Opaque</t>
        </is>
      </c>
      <c r="R102" s="2" t="inlineStr">
        <is>
          <t>011-08</t>
        </is>
      </c>
      <c r="S102" s="5" t="n">
        <v>1.7609</v>
      </c>
      <c r="T102" s="7" t="n">
        <v>0.0493052</v>
      </c>
      <c r="U102" s="2" t="inlineStr">
        <is>
          <t>NL plastic type inferred (rigid vs flexible) from material/component keywords.</t>
        </is>
      </c>
      <c r="V102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03">
      <c r="A103" s="2" t="inlineStr">
        <is>
          <t>PKG0042</t>
        </is>
      </c>
      <c r="B103" s="2" t="inlineStr">
        <is>
          <t>CPET ovenable tray (single portion) + lidding film</t>
        </is>
      </c>
      <c r="C103" s="2" t="inlineStr">
        <is>
          <t>Lidding film</t>
        </is>
      </c>
      <c r="D103" s="2" t="inlineStr">
        <is>
          <t>PL.PE.FILM</t>
        </is>
      </c>
      <c r="E103" s="2" t="inlineStr">
        <is>
          <t>PE films</t>
        </is>
      </c>
      <c r="F103" s="2" t="inlineStr">
        <is>
          <t>Plastics &gt; Flexible plastics (films) &gt; PE films</t>
        </is>
      </c>
      <c r="G103" s="4" t="n">
        <v>2.5</v>
      </c>
      <c r="H103" s="3" t="n"/>
      <c r="I103" s="2" t="inlineStr">
        <is>
          <t>Plastic</t>
        </is>
      </c>
      <c r="J103" s="2" t="inlineStr">
        <is>
          <t>PE.FILM</t>
        </is>
      </c>
      <c r="K103" s="5" t="n">
        <v>0.423</v>
      </c>
      <c r="L103" s="6" t="n">
        <v>0.0010575</v>
      </c>
      <c r="M103" s="2" t="inlineStr">
        <is>
          <t>Plastic flexibel/ niet gespecificeerd</t>
        </is>
      </c>
      <c r="N103" s="2" t="inlineStr"/>
      <c r="O103" s="5" t="n">
        <v>1.32</v>
      </c>
      <c r="P103" s="7" t="n">
        <v>0.0033</v>
      </c>
      <c r="Q103" s="2" t="inlineStr">
        <is>
          <t>PE – Films</t>
        </is>
      </c>
      <c r="R103" s="2" t="inlineStr">
        <is>
          <t>011-07</t>
        </is>
      </c>
      <c r="S103" s="5" t="n">
        <v>1.2844</v>
      </c>
      <c r="T103" s="7" t="n">
        <v>0.003211</v>
      </c>
      <c r="U103" s="2" t="inlineStr">
        <is>
          <t>NL plastic type inferred (rigid vs flexible) from material/component keywords.</t>
        </is>
      </c>
      <c r="V103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04">
      <c r="A104" s="2" t="inlineStr">
        <is>
          <t>PKG0043</t>
        </is>
      </c>
      <c r="B104" s="2" t="inlineStr">
        <is>
          <t>PET produce tray + lidding film</t>
        </is>
      </c>
      <c r="C104" s="2" t="inlineStr">
        <is>
          <t>Tray</t>
        </is>
      </c>
      <c r="D104" s="2" t="inlineStr">
        <is>
          <t>PL.PET.THERMO.MONO.TR</t>
        </is>
      </c>
      <c r="E104" s="2" t="inlineStr">
        <is>
          <t>PET thermoformed — mono transparent (APET)</t>
        </is>
      </c>
      <c r="F104" s="2" t="inlineStr">
        <is>
          <t>Plastics &gt; Rigid plastics &gt; PET (polyethylene terephthalate) &gt; PET thermoformed — mono transparent (APET)</t>
        </is>
      </c>
      <c r="G104" s="4" t="n">
        <v>16</v>
      </c>
      <c r="H104" s="3" t="n"/>
      <c r="I104" s="2" t="inlineStr">
        <is>
          <t>Plastic</t>
        </is>
      </c>
      <c r="J104" s="2" t="inlineStr">
        <is>
          <t>PET.THERMO.MONO.TR</t>
        </is>
      </c>
      <c r="K104" s="5" t="n">
        <v>0.423</v>
      </c>
      <c r="L104" s="6" t="n">
        <v>0.006768</v>
      </c>
      <c r="M104" s="2" t="inlineStr">
        <is>
          <t>Plastic flexibel/ niet gespecificeerd</t>
        </is>
      </c>
      <c r="N104" s="2" t="inlineStr"/>
      <c r="O104" s="5" t="n">
        <v>1.32</v>
      </c>
      <c r="P104" s="7" t="n">
        <v>0.02112</v>
      </c>
      <c r="Q104" s="2" t="inlineStr">
        <is>
          <t>PET (mono) – Hard packaging elements other than bottles and flasks - Transparent</t>
        </is>
      </c>
      <c r="R104" s="2" t="inlineStr">
        <is>
          <t>011-05-A</t>
        </is>
      </c>
      <c r="S104" s="5" t="n">
        <v>1.1244</v>
      </c>
      <c r="T104" s="7" t="n">
        <v>0.0179904</v>
      </c>
      <c r="U104" s="2" t="inlineStr">
        <is>
          <t>NL plastic type inferred (rigid vs flexible) from material/component keywords.</t>
        </is>
      </c>
      <c r="V104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05">
      <c r="A105" s="2" t="inlineStr">
        <is>
          <t>PKG0043</t>
        </is>
      </c>
      <c r="B105" s="2" t="inlineStr">
        <is>
          <t>PET produce tray + lidding film</t>
        </is>
      </c>
      <c r="C105" s="2" t="inlineStr">
        <is>
          <t>Lidding film</t>
        </is>
      </c>
      <c r="D105" s="2" t="inlineStr">
        <is>
          <t>PL.PE.FILM</t>
        </is>
      </c>
      <c r="E105" s="2" t="inlineStr">
        <is>
          <t>PE films</t>
        </is>
      </c>
      <c r="F105" s="2" t="inlineStr">
        <is>
          <t>Plastics &gt; Flexible plastics (films) &gt; PE films</t>
        </is>
      </c>
      <c r="G105" s="4" t="n">
        <v>1.8</v>
      </c>
      <c r="H105" s="3" t="n"/>
      <c r="I105" s="2" t="inlineStr">
        <is>
          <t>Plastic</t>
        </is>
      </c>
      <c r="J105" s="2" t="inlineStr">
        <is>
          <t>PE.FILM</t>
        </is>
      </c>
      <c r="K105" s="5" t="n">
        <v>0.423</v>
      </c>
      <c r="L105" s="6" t="n">
        <v>0.0007614</v>
      </c>
      <c r="M105" s="2" t="inlineStr">
        <is>
          <t>Plastic flexibel/ niet gespecificeerd</t>
        </is>
      </c>
      <c r="N105" s="2" t="inlineStr"/>
      <c r="O105" s="5" t="n">
        <v>1.32</v>
      </c>
      <c r="P105" s="7" t="n">
        <v>0.002376</v>
      </c>
      <c r="Q105" s="2" t="inlineStr">
        <is>
          <t>PE – Films</t>
        </is>
      </c>
      <c r="R105" s="2" t="inlineStr">
        <is>
          <t>011-07</t>
        </is>
      </c>
      <c r="S105" s="5" t="n">
        <v>1.2844</v>
      </c>
      <c r="T105" s="7" t="n">
        <v>0.00231192</v>
      </c>
      <c r="U105" s="2" t="inlineStr">
        <is>
          <t>NL plastic type inferred (rigid vs flexible) from material/component keywords.</t>
        </is>
      </c>
      <c r="V105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06">
      <c r="A106" s="2" t="inlineStr">
        <is>
          <t>PKG0044</t>
        </is>
      </c>
      <c r="B106" s="2" t="inlineStr">
        <is>
          <t>Retail paper carry bag (medium) with handles</t>
        </is>
      </c>
      <c r="C106" s="2" t="inlineStr">
        <is>
          <t>Bag paper</t>
        </is>
      </c>
      <c r="D106" s="2" t="inlineStr">
        <is>
          <t>PA.RECYCLED</t>
        </is>
      </c>
      <c r="E106" s="2" t="inlineStr">
        <is>
          <t>Paper-cardboard (recyclable fibre)</t>
        </is>
      </c>
      <c r="F106" s="2" t="inlineStr">
        <is>
          <t>Paper &amp; Cardboard &gt; Paper-cardboard (recyclable fibre)</t>
        </is>
      </c>
      <c r="G106" s="4" t="n">
        <v>70</v>
      </c>
      <c r="H106" s="3" t="n"/>
      <c r="I106" s="2" t="inlineStr">
        <is>
          <t>Paper and card</t>
        </is>
      </c>
      <c r="J106" s="2" t="inlineStr"/>
      <c r="K106" s="5" t="n">
        <v>0.196</v>
      </c>
      <c r="L106" s="6" t="n">
        <v>0.01372</v>
      </c>
      <c r="M106" s="2" t="inlineStr">
        <is>
          <t>Papier en karton</t>
        </is>
      </c>
      <c r="N106" s="2" t="inlineStr"/>
      <c r="O106" s="5" t="n">
        <v>0.017</v>
      </c>
      <c r="P106" s="7" t="n">
        <v>0.00119</v>
      </c>
      <c r="Q106" s="2" t="inlineStr">
        <is>
          <t>Paper-cardboard</t>
        </is>
      </c>
      <c r="R106" s="2" t="inlineStr">
        <is>
          <t>002</t>
        </is>
      </c>
      <c r="S106" s="5" t="n">
        <v>0.1503</v>
      </c>
      <c r="T106" s="7" t="n">
        <v>0.010521</v>
      </c>
      <c r="U106" s="2" t="inlineStr"/>
      <c r="V106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07">
      <c r="A107" s="2" t="inlineStr">
        <is>
          <t>PKG0044</t>
        </is>
      </c>
      <c r="B107" s="2" t="inlineStr">
        <is>
          <t>Retail paper carry bag (medium) with handles</t>
        </is>
      </c>
      <c r="C107" s="2" t="inlineStr">
        <is>
          <t>Handles</t>
        </is>
      </c>
      <c r="D107" s="2" t="inlineStr">
        <is>
          <t>PA.MONO</t>
        </is>
      </c>
      <c r="E107" s="2" t="inlineStr">
        <is>
          <t>Paper/cardboard — mono-material</t>
        </is>
      </c>
      <c r="F107" s="2" t="inlineStr">
        <is>
          <t>Paper &amp; Cardboard &gt; Paper/cardboard — mono-material</t>
        </is>
      </c>
      <c r="G107" s="4" t="n">
        <v>8</v>
      </c>
      <c r="H107" s="3" t="n"/>
      <c r="I107" s="2" t="inlineStr">
        <is>
          <t>Paper and card</t>
        </is>
      </c>
      <c r="J107" s="2" t="inlineStr"/>
      <c r="K107" s="5" t="n">
        <v>0.196</v>
      </c>
      <c r="L107" s="6" t="n">
        <v>0.001568</v>
      </c>
      <c r="M107" s="2" t="inlineStr">
        <is>
          <t>Papier en karton</t>
        </is>
      </c>
      <c r="N107" s="2" t="inlineStr"/>
      <c r="O107" s="5" t="n">
        <v>0.017</v>
      </c>
      <c r="P107" s="7" t="n">
        <v>0.000136</v>
      </c>
      <c r="Q107" s="2" t="inlineStr">
        <is>
          <t>Paper-cardboard</t>
        </is>
      </c>
      <c r="R107" s="2" t="inlineStr">
        <is>
          <t>002</t>
        </is>
      </c>
      <c r="S107" s="5" t="n">
        <v>0.1503</v>
      </c>
      <c r="T107" s="7" t="n">
        <v>0.0012024</v>
      </c>
      <c r="U107" s="2" t="inlineStr"/>
      <c r="V107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08">
      <c r="A108" s="2" t="inlineStr">
        <is>
          <t>PKG0045</t>
        </is>
      </c>
      <c r="B108" s="2" t="inlineStr">
        <is>
          <t>HDPE carrier bag (t-shirt) - medium</t>
        </is>
      </c>
      <c r="C108" s="2" t="inlineStr">
        <is>
          <t>Bag film</t>
        </is>
      </c>
      <c r="D108" s="2" t="inlineStr">
        <is>
          <t>PL.PE.FILM</t>
        </is>
      </c>
      <c r="E108" s="2" t="inlineStr">
        <is>
          <t>PE films</t>
        </is>
      </c>
      <c r="F108" s="2" t="inlineStr">
        <is>
          <t>Plastics &gt; Flexible plastics (films) &gt; PE films</t>
        </is>
      </c>
      <c r="G108" s="4" t="n">
        <v>6</v>
      </c>
      <c r="H108" s="3" t="n"/>
      <c r="I108" s="2" t="inlineStr">
        <is>
          <t>Plastic</t>
        </is>
      </c>
      <c r="J108" s="2" t="inlineStr">
        <is>
          <t>PE.FILM</t>
        </is>
      </c>
      <c r="K108" s="5" t="n">
        <v>0.423</v>
      </c>
      <c r="L108" s="6" t="n">
        <v>0.002538</v>
      </c>
      <c r="M108" s="2" t="inlineStr">
        <is>
          <t>Plastic flexibel/ niet gespecificeerd</t>
        </is>
      </c>
      <c r="N108" s="2" t="inlineStr"/>
      <c r="O108" s="5" t="n">
        <v>1.32</v>
      </c>
      <c r="P108" s="7" t="n">
        <v>0.00792</v>
      </c>
      <c r="Q108" s="2" t="inlineStr">
        <is>
          <t>PE – Films</t>
        </is>
      </c>
      <c r="R108" s="2" t="inlineStr">
        <is>
          <t>011-07</t>
        </is>
      </c>
      <c r="S108" s="5" t="n">
        <v>1.2844</v>
      </c>
      <c r="T108" s="7" t="n">
        <v>0.0077064</v>
      </c>
      <c r="U108" s="2" t="inlineStr">
        <is>
          <t>NL plastic type inferred (rigid vs flexible) from material/component keywords.</t>
        </is>
      </c>
      <c r="V108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09">
      <c r="A109" s="2" t="inlineStr">
        <is>
          <t>PKG0045</t>
        </is>
      </c>
      <c r="B109" s="2" t="inlineStr">
        <is>
          <t>HDPE carrier bag (t-shirt) - medium</t>
        </is>
      </c>
      <c r="C109" s="2" t="inlineStr">
        <is>
          <t>Inks</t>
        </is>
      </c>
      <c r="D109" s="2" t="inlineStr">
        <is>
          <t>OT.OTHER_PACK</t>
        </is>
      </c>
      <c r="E109" s="2" t="inlineStr">
        <is>
          <t>Packaging of other materials</t>
        </is>
      </c>
      <c r="F109" s="2" t="inlineStr">
        <is>
          <t>Other &gt; Packaging of other materials</t>
        </is>
      </c>
      <c r="G109" s="4" t="n">
        <v>0.2</v>
      </c>
      <c r="H109" s="3" t="n"/>
      <c r="I109" s="2" t="inlineStr">
        <is>
          <t>Other</t>
        </is>
      </c>
      <c r="J109" s="2" t="inlineStr"/>
      <c r="K109" s="5" t="n">
        <v>0.259</v>
      </c>
      <c r="L109" s="6" t="n">
        <v>5.180000000000001e-05</v>
      </c>
      <c r="M109" s="2" t="inlineStr">
        <is>
          <t>Andere materiaalsoorten</t>
        </is>
      </c>
      <c r="N109" s="2" t="inlineStr"/>
      <c r="O109" s="5" t="n">
        <v>0.015</v>
      </c>
      <c r="P109" s="7" t="n">
        <v>3e-06</v>
      </c>
      <c r="Q109" s="2" t="inlineStr">
        <is>
          <t>Other valorised packaging (textile, rubber, etc.)</t>
        </is>
      </c>
      <c r="R109" s="2" t="inlineStr">
        <is>
          <t>016-03</t>
        </is>
      </c>
      <c r="S109" s="5" t="n">
        <v>3.9092</v>
      </c>
      <c r="T109" s="7" t="n">
        <v>0.00078184</v>
      </c>
      <c r="U109" s="2" t="inlineStr">
        <is>
          <t>Often excluded/immaterial (inks/adhesives) depending on scheme reporting rules; verify.</t>
        </is>
      </c>
      <c r="V109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10">
      <c r="A110" s="2" t="inlineStr">
        <is>
          <t>PKG0046</t>
        </is>
      </c>
      <c r="B110" s="2" t="inlineStr">
        <is>
          <t>Padded mailer (paper exterior + bubble lining)</t>
        </is>
      </c>
      <c r="C110" s="2" t="inlineStr">
        <is>
          <t>Outer paper</t>
        </is>
      </c>
      <c r="D110" s="2" t="inlineStr">
        <is>
          <t>PA.RECYCLED</t>
        </is>
      </c>
      <c r="E110" s="2" t="inlineStr">
        <is>
          <t>Paper-cardboard (recyclable fibre)</t>
        </is>
      </c>
      <c r="F110" s="2" t="inlineStr">
        <is>
          <t>Paper &amp; Cardboard &gt; Paper-cardboard (recyclable fibre)</t>
        </is>
      </c>
      <c r="G110" s="4" t="n">
        <v>45</v>
      </c>
      <c r="H110" s="3" t="n"/>
      <c r="I110" s="2" t="inlineStr">
        <is>
          <t>Paper and card</t>
        </is>
      </c>
      <c r="J110" s="2" t="inlineStr"/>
      <c r="K110" s="5" t="n">
        <v>0.196</v>
      </c>
      <c r="L110" s="6" t="n">
        <v>0.00882</v>
      </c>
      <c r="M110" s="2" t="inlineStr">
        <is>
          <t>Papier en karton</t>
        </is>
      </c>
      <c r="N110" s="2" t="inlineStr"/>
      <c r="O110" s="5" t="n">
        <v>0.017</v>
      </c>
      <c r="P110" s="7" t="n">
        <v>0.0007650000000000001</v>
      </c>
      <c r="Q110" s="2" t="inlineStr">
        <is>
          <t>Paper-cardboard</t>
        </is>
      </c>
      <c r="R110" s="2" t="inlineStr">
        <is>
          <t>002</t>
        </is>
      </c>
      <c r="S110" s="5" t="n">
        <v>0.1503</v>
      </c>
      <c r="T110" s="7" t="n">
        <v>0.0067635</v>
      </c>
      <c r="U110" s="2" t="inlineStr"/>
      <c r="V110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11">
      <c r="A111" s="2" t="inlineStr">
        <is>
          <t>PKG0046</t>
        </is>
      </c>
      <c r="B111" s="2" t="inlineStr">
        <is>
          <t>Padded mailer (paper exterior + bubble lining)</t>
        </is>
      </c>
      <c r="C111" s="2" t="inlineStr">
        <is>
          <t>Bubble lining</t>
        </is>
      </c>
      <c r="D111" s="2" t="inlineStr">
        <is>
          <t>PL.PE.FILM</t>
        </is>
      </c>
      <c r="E111" s="2" t="inlineStr">
        <is>
          <t>PE films</t>
        </is>
      </c>
      <c r="F111" s="2" t="inlineStr">
        <is>
          <t>Plastics &gt; Flexible plastics (films) &gt; PE films</t>
        </is>
      </c>
      <c r="G111" s="4" t="n">
        <v>18</v>
      </c>
      <c r="H111" s="3" t="n"/>
      <c r="I111" s="2" t="inlineStr">
        <is>
          <t>Plastic</t>
        </is>
      </c>
      <c r="J111" s="2" t="inlineStr">
        <is>
          <t>PE.FILM</t>
        </is>
      </c>
      <c r="K111" s="5" t="n">
        <v>0.423</v>
      </c>
      <c r="L111" s="6" t="n">
        <v>0.007613999999999999</v>
      </c>
      <c r="M111" s="2" t="inlineStr">
        <is>
          <t>Plastic flexibel/ niet gespecificeerd</t>
        </is>
      </c>
      <c r="N111" s="2" t="inlineStr"/>
      <c r="O111" s="5" t="n">
        <v>1.32</v>
      </c>
      <c r="P111" s="7" t="n">
        <v>0.02376</v>
      </c>
      <c r="Q111" s="2" t="inlineStr">
        <is>
          <t>PE – Films</t>
        </is>
      </c>
      <c r="R111" s="2" t="inlineStr">
        <is>
          <t>011-07</t>
        </is>
      </c>
      <c r="S111" s="5" t="n">
        <v>1.2844</v>
      </c>
      <c r="T111" s="7" t="n">
        <v>0.0231192</v>
      </c>
      <c r="U111" s="2" t="inlineStr">
        <is>
          <t>NL plastic type inferred (rigid vs flexible) from material/component keywords.</t>
        </is>
      </c>
      <c r="V111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12">
      <c r="A112" s="2" t="inlineStr">
        <is>
          <t>PKG0046</t>
        </is>
      </c>
      <c r="B112" s="2" t="inlineStr">
        <is>
          <t>Padded mailer (paper exterior + bubble lining)</t>
        </is>
      </c>
      <c r="C112" s="2" t="inlineStr">
        <is>
          <t>Adhesive strip</t>
        </is>
      </c>
      <c r="D112" s="2" t="inlineStr">
        <is>
          <t>OT.OTHER_PACK</t>
        </is>
      </c>
      <c r="E112" s="2" t="inlineStr">
        <is>
          <t>Packaging of other materials</t>
        </is>
      </c>
      <c r="F112" s="2" t="inlineStr">
        <is>
          <t>Other &gt; Packaging of other materials</t>
        </is>
      </c>
      <c r="G112" s="4" t="n">
        <v>1</v>
      </c>
      <c r="H112" s="3" t="n"/>
      <c r="I112" s="2" t="inlineStr">
        <is>
          <t>Other</t>
        </is>
      </c>
      <c r="J112" s="2" t="inlineStr"/>
      <c r="K112" s="5" t="n">
        <v>0.259</v>
      </c>
      <c r="L112" s="6" t="n">
        <v>0.000259</v>
      </c>
      <c r="M112" s="2" t="inlineStr">
        <is>
          <t>Andere materiaalsoorten</t>
        </is>
      </c>
      <c r="N112" s="2" t="inlineStr"/>
      <c r="O112" s="5" t="n">
        <v>0.015</v>
      </c>
      <c r="P112" s="7" t="n">
        <v>1.5e-05</v>
      </c>
      <c r="Q112" s="2" t="inlineStr">
        <is>
          <t>Other valorised packaging (textile, rubber, etc.)</t>
        </is>
      </c>
      <c r="R112" s="2" t="inlineStr">
        <is>
          <t>016-03</t>
        </is>
      </c>
      <c r="S112" s="5" t="n">
        <v>3.9092</v>
      </c>
      <c r="T112" s="7" t="n">
        <v>0.0039092</v>
      </c>
      <c r="U112" s="2" t="inlineStr">
        <is>
          <t>Often excluded/immaterial (inks/adhesives) depending on scheme reporting rules; verify.</t>
        </is>
      </c>
      <c r="V112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13">
      <c r="A113" s="2" t="inlineStr">
        <is>
          <t>PKG0047</t>
        </is>
      </c>
      <c r="B113" s="2" t="inlineStr">
        <is>
          <t>EPAL Euro pallet (wood) 1200 x 800 mm</t>
        </is>
      </c>
      <c r="C113" s="2" t="inlineStr">
        <is>
          <t>Pallet</t>
        </is>
      </c>
      <c r="D113" s="2" t="inlineStr">
        <is>
          <t>WO.PACK</t>
        </is>
      </c>
      <c r="E113" s="2" t="inlineStr">
        <is>
          <t>Wood packaging</t>
        </is>
      </c>
      <c r="F113" s="2" t="inlineStr">
        <is>
          <t>Wood &gt; Wood packaging</t>
        </is>
      </c>
      <c r="G113" s="4" t="n">
        <v>25000</v>
      </c>
      <c r="H113" s="3" t="n"/>
      <c r="I113" s="2" t="inlineStr">
        <is>
          <t>Wood</t>
        </is>
      </c>
      <c r="J113" s="2" t="inlineStr"/>
      <c r="K113" s="5" t="n">
        <v>0.28</v>
      </c>
      <c r="L113" s="6" t="n">
        <v>7.000000000000001</v>
      </c>
      <c r="M113" s="2" t="inlineStr">
        <is>
          <t>Hout</t>
        </is>
      </c>
      <c r="N113" s="2" t="inlineStr"/>
      <c r="O113" s="5" t="n">
        <v>0.015</v>
      </c>
      <c r="P113" s="7" t="n">
        <v>0.375</v>
      </c>
      <c r="Q113" s="2" t="inlineStr">
        <is>
          <t>Wood</t>
        </is>
      </c>
      <c r="R113" s="2" t="inlineStr">
        <is>
          <t>016-01</t>
        </is>
      </c>
      <c r="S113" s="5" t="n">
        <v>3.9092</v>
      </c>
      <c r="T113" s="7" t="n">
        <v>97.72999999999999</v>
      </c>
      <c r="U113" s="2" t="inlineStr"/>
      <c r="V113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14">
      <c r="A114" s="2" t="inlineStr">
        <is>
          <t>PKG0048</t>
        </is>
      </c>
      <c r="B114" s="2" t="inlineStr">
        <is>
          <t>Australian standard pallet (wood) 1165 x 1165 mm</t>
        </is>
      </c>
      <c r="C114" s="2" t="inlineStr">
        <is>
          <t>Pallet</t>
        </is>
      </c>
      <c r="D114" s="2" t="inlineStr">
        <is>
          <t>WO.PACK</t>
        </is>
      </c>
      <c r="E114" s="2" t="inlineStr">
        <is>
          <t>Wood packaging</t>
        </is>
      </c>
      <c r="F114" s="2" t="inlineStr">
        <is>
          <t>Wood &gt; Wood packaging</t>
        </is>
      </c>
      <c r="G114" s="4" t="n">
        <v>28000</v>
      </c>
      <c r="H114" s="3" t="n"/>
      <c r="I114" s="2" t="inlineStr">
        <is>
          <t>Wood</t>
        </is>
      </c>
      <c r="J114" s="2" t="inlineStr"/>
      <c r="K114" s="5" t="n">
        <v>0.28</v>
      </c>
      <c r="L114" s="6" t="n">
        <v>7.840000000000001</v>
      </c>
      <c r="M114" s="2" t="inlineStr">
        <is>
          <t>Hout</t>
        </is>
      </c>
      <c r="N114" s="2" t="inlineStr"/>
      <c r="O114" s="5" t="n">
        <v>0.015</v>
      </c>
      <c r="P114" s="7" t="n">
        <v>0.42</v>
      </c>
      <c r="Q114" s="2" t="inlineStr">
        <is>
          <t>Wood</t>
        </is>
      </c>
      <c r="R114" s="2" t="inlineStr">
        <is>
          <t>016-01</t>
        </is>
      </c>
      <c r="S114" s="5" t="n">
        <v>3.9092</v>
      </c>
      <c r="T114" s="7" t="n">
        <v>109.4576</v>
      </c>
      <c r="U114" s="2" t="inlineStr"/>
      <c r="V114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15">
      <c r="A115" s="2" t="inlineStr">
        <is>
          <t>PKG0049</t>
        </is>
      </c>
      <c r="B115" s="2" t="inlineStr">
        <is>
          <t>Fibre pallet 1200 x 1000 mm (paper-based composite)</t>
        </is>
      </c>
      <c r="C115" s="2" t="inlineStr">
        <is>
          <t>Pallet structure</t>
        </is>
      </c>
      <c r="D115" s="2" t="inlineStr">
        <is>
          <t>CO.FIBRE_COMP</t>
        </is>
      </c>
      <c r="E115" s="2" t="inlineStr">
        <is>
          <t>Fibre-based composite</t>
        </is>
      </c>
      <c r="F115" s="2" t="inlineStr">
        <is>
          <t>Composites &amp; Multimaterial &gt; Fibre-based composite</t>
        </is>
      </c>
      <c r="G115" s="4" t="n">
        <v>9000</v>
      </c>
      <c r="H115" s="3" t="n"/>
      <c r="I115" s="2" t="inlineStr">
        <is>
          <t>Fibre-based composite</t>
        </is>
      </c>
      <c r="J115" s="2" t="inlineStr"/>
      <c r="K115" s="5" t="n">
        <v>0.461</v>
      </c>
      <c r="L115" s="6" t="n">
        <v>4.149</v>
      </c>
      <c r="M115" s="2" t="inlineStr">
        <is>
          <t>Drankenkartons</t>
        </is>
      </c>
      <c r="N115" s="2" t="inlineStr"/>
      <c r="O115" s="5" t="n">
        <v>0.88</v>
      </c>
      <c r="P115" s="7" t="n">
        <v>7.92</v>
      </c>
      <c r="Q115" s="2" t="inlineStr">
        <is>
          <t>Beverage cartons</t>
        </is>
      </c>
      <c r="R115" s="2" t="inlineStr">
        <is>
          <t>008</t>
        </is>
      </c>
      <c r="S115" s="5" t="n">
        <v>0.8179999999999999</v>
      </c>
      <c r="T115" s="7" t="n">
        <v>7.361999999999999</v>
      </c>
      <c r="U115" s="2" t="inlineStr"/>
      <c r="V115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16">
      <c r="A116" s="2" t="inlineStr">
        <is>
          <t>PKG0050</t>
        </is>
      </c>
      <c r="B116" s="2" t="inlineStr">
        <is>
          <t>Stretch wrap film used per pallet load (typical)</t>
        </is>
      </c>
      <c r="C116" s="2" t="inlineStr">
        <is>
          <t>Stretch film</t>
        </is>
      </c>
      <c r="D116" s="2" t="inlineStr">
        <is>
          <t>PL.PE.FILM</t>
        </is>
      </c>
      <c r="E116" s="2" t="inlineStr">
        <is>
          <t>PE films</t>
        </is>
      </c>
      <c r="F116" s="2" t="inlineStr">
        <is>
          <t>Plastics &gt; Flexible plastics (films) &gt; PE films</t>
        </is>
      </c>
      <c r="G116" s="4" t="n">
        <v>200</v>
      </c>
      <c r="H116" s="3" t="n"/>
      <c r="I116" s="2" t="inlineStr">
        <is>
          <t>Plastic</t>
        </is>
      </c>
      <c r="J116" s="2" t="inlineStr">
        <is>
          <t>PE.FILM</t>
        </is>
      </c>
      <c r="K116" s="5" t="n">
        <v>0.423</v>
      </c>
      <c r="L116" s="6" t="n">
        <v>0.08460000000000001</v>
      </c>
      <c r="M116" s="2" t="inlineStr">
        <is>
          <t>Plastic flexibel/ niet gespecificeerd</t>
        </is>
      </c>
      <c r="N116" s="2" t="inlineStr"/>
      <c r="O116" s="5" t="n">
        <v>1.32</v>
      </c>
      <c r="P116" s="7" t="n">
        <v>0.264</v>
      </c>
      <c r="Q116" s="2" t="inlineStr">
        <is>
          <t>PE – Films</t>
        </is>
      </c>
      <c r="R116" s="2" t="inlineStr">
        <is>
          <t>011-07</t>
        </is>
      </c>
      <c r="S116" s="5" t="n">
        <v>1.2844</v>
      </c>
      <c r="T116" s="7" t="n">
        <v>0.25688</v>
      </c>
      <c r="U116" s="2" t="inlineStr">
        <is>
          <t>NL plastic type inferred (rigid vs flexible) from material/component keywords.</t>
        </is>
      </c>
      <c r="V116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17">
      <c r="A117" s="2" t="inlineStr">
        <is>
          <t>PKG0051</t>
        </is>
      </c>
      <c r="B117" s="2" t="inlineStr">
        <is>
          <t>PP strapping used per pallet load (typical)</t>
        </is>
      </c>
      <c r="C117" s="2" t="inlineStr">
        <is>
          <t>Strapping</t>
        </is>
      </c>
      <c r="D117" s="2" t="inlineStr">
        <is>
          <t>PL.PP.FILM</t>
        </is>
      </c>
      <c r="E117" s="2" t="inlineStr">
        <is>
          <t>PP films</t>
        </is>
      </c>
      <c r="F117" s="2" t="inlineStr">
        <is>
          <t>Plastics &gt; Flexible plastics (films) &gt; PP films</t>
        </is>
      </c>
      <c r="G117" s="4" t="n">
        <v>60</v>
      </c>
      <c r="H117" s="3" t="n"/>
      <c r="I117" s="2" t="inlineStr">
        <is>
          <t>Plastic</t>
        </is>
      </c>
      <c r="J117" s="2" t="inlineStr">
        <is>
          <t>PP.FILM</t>
        </is>
      </c>
      <c r="K117" s="5" t="n">
        <v>0.423</v>
      </c>
      <c r="L117" s="6" t="n">
        <v>0.02538</v>
      </c>
      <c r="M117" s="2" t="inlineStr">
        <is>
          <t>Plastic flexibel/ niet gespecificeerd</t>
        </is>
      </c>
      <c r="N117" s="2" t="inlineStr"/>
      <c r="O117" s="5" t="n">
        <v>1.32</v>
      </c>
      <c r="P117" s="7" t="n">
        <v>0.07920000000000001</v>
      </c>
      <c r="Q117" s="2" t="inlineStr">
        <is>
          <t>PP – Films</t>
        </is>
      </c>
      <c r="R117" s="2" t="inlineStr">
        <is>
          <t>011-09-A</t>
        </is>
      </c>
      <c r="S117" s="5" t="n">
        <v>1.9546</v>
      </c>
      <c r="T117" s="7" t="n">
        <v>0.117276</v>
      </c>
      <c r="U117" s="2" t="inlineStr">
        <is>
          <t>NL plastic type inferred (rigid vs flexible) from material/component keywords.</t>
        </is>
      </c>
      <c r="V117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  <row r="118">
      <c r="A118" s="2" t="inlineStr">
        <is>
          <t>PKG0052</t>
        </is>
      </c>
      <c r="B118" s="2" t="inlineStr">
        <is>
          <t>Paper slip sheet (pallet alternative) 1200 x 1000</t>
        </is>
      </c>
      <c r="C118" s="2" t="inlineStr">
        <is>
          <t>Slip sheet</t>
        </is>
      </c>
      <c r="D118" s="2" t="inlineStr">
        <is>
          <t>PA.RECYCLED</t>
        </is>
      </c>
      <c r="E118" s="2" t="inlineStr">
        <is>
          <t>Paper-cardboard (recyclable fibre)</t>
        </is>
      </c>
      <c r="F118" s="2" t="inlineStr">
        <is>
          <t>Paper &amp; Cardboard &gt; Paper-cardboard (recyclable fibre)</t>
        </is>
      </c>
      <c r="G118" s="4" t="n">
        <v>750</v>
      </c>
      <c r="H118" s="3" t="n"/>
      <c r="I118" s="2" t="inlineStr">
        <is>
          <t>Paper and card</t>
        </is>
      </c>
      <c r="J118" s="2" t="inlineStr"/>
      <c r="K118" s="5" t="n">
        <v>0.196</v>
      </c>
      <c r="L118" s="6" t="n">
        <v>0.147</v>
      </c>
      <c r="M118" s="2" t="inlineStr">
        <is>
          <t>Papier en karton</t>
        </is>
      </c>
      <c r="N118" s="2" t="inlineStr"/>
      <c r="O118" s="5" t="n">
        <v>0.017</v>
      </c>
      <c r="P118" s="7" t="n">
        <v>0.01275</v>
      </c>
      <c r="Q118" s="2" t="inlineStr">
        <is>
          <t>Paper-cardboard</t>
        </is>
      </c>
      <c r="R118" s="2" t="inlineStr">
        <is>
          <t>002</t>
        </is>
      </c>
      <c r="S118" s="5" t="n">
        <v>0.1503</v>
      </c>
      <c r="T118" s="7" t="n">
        <v>0.112725</v>
      </c>
      <c r="U118" s="2" t="inlineStr"/>
      <c r="V118" s="2" t="inlineStr">
        <is>
          <t>UK: https://www.gov.uk/government/publications/extended-producer-responsibility-for-packaging-2025-base-fees/extended-producer-responsibility-for-packaging-2025-base-fees
NL: https://www.verpact.nl/nl/tarieven
BE: https://www.fostplus.be/en/media/1930/download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0" customWidth="1" min="3" max="3"/>
    <col width="8" customWidth="1" min="4" max="4"/>
    <col width="44" customWidth="1" min="5" max="5"/>
    <col width="12" customWidth="1" min="6" max="6"/>
    <col width="14" customWidth="1" min="7" max="7"/>
    <col width="10" customWidth="1" min="8" max="8"/>
    <col width="60" customWidth="1" min="9" max="9"/>
  </cols>
  <sheetData>
    <row r="1">
      <c r="A1" s="1" t="inlineStr">
        <is>
          <t>LookupKey</t>
        </is>
      </c>
      <c r="B1" s="1" t="inlineStr">
        <is>
          <t>Country</t>
        </is>
      </c>
      <c r="C1" s="1" t="inlineStr">
        <is>
          <t>Scheme</t>
        </is>
      </c>
      <c r="D1" s="1" t="inlineStr">
        <is>
          <t>Year</t>
        </is>
      </c>
      <c r="E1" s="1" t="inlineStr">
        <is>
          <t>Category</t>
        </is>
      </c>
      <c r="F1" s="1" t="inlineStr">
        <is>
          <t>Code</t>
        </is>
      </c>
      <c r="G1" s="1" t="inlineStr">
        <is>
          <t>Rate_per_kg</t>
        </is>
      </c>
      <c r="H1" s="1" t="inlineStr">
        <is>
          <t>Currency</t>
        </is>
      </c>
      <c r="I1" s="1" t="inlineStr">
        <is>
          <t>Source URL</t>
        </is>
      </c>
    </row>
    <row r="2">
      <c r="A2" s="2" t="inlineStr">
        <is>
          <t>UK|Aluminium</t>
        </is>
      </c>
      <c r="B2" s="2" t="inlineStr">
        <is>
          <t>UK</t>
        </is>
      </c>
      <c r="C2" s="2" t="inlineStr">
        <is>
          <t>UK EPR base fees 2025-26</t>
        </is>
      </c>
      <c r="D2" s="8" t="n">
        <v>2025</v>
      </c>
      <c r="E2" s="2" t="inlineStr">
        <is>
          <t>Aluminium</t>
        </is>
      </c>
      <c r="F2" s="2" t="inlineStr"/>
      <c r="G2" s="5" t="n">
        <v>0.266</v>
      </c>
      <c r="H2" s="2" t="inlineStr">
        <is>
          <t>GBP</t>
        </is>
      </c>
      <c r="I2" s="2" t="inlineStr">
        <is>
          <t>https://www.gov.uk/government/publications/extended-producer-responsibility-for-packaging-2025-base-fees/extended-producer-responsibility-for-packaging-2025-base-fees</t>
        </is>
      </c>
    </row>
    <row r="3">
      <c r="A3" s="2" t="inlineStr">
        <is>
          <t>UK|Fibre-based composite</t>
        </is>
      </c>
      <c r="B3" s="2" t="inlineStr">
        <is>
          <t>UK</t>
        </is>
      </c>
      <c r="C3" s="2" t="inlineStr">
        <is>
          <t>UK EPR base fees 2025-26</t>
        </is>
      </c>
      <c r="D3" s="8" t="n">
        <v>2025</v>
      </c>
      <c r="E3" s="2" t="inlineStr">
        <is>
          <t>Fibre-based composite</t>
        </is>
      </c>
      <c r="F3" s="2" t="inlineStr"/>
      <c r="G3" s="5" t="n">
        <v>0.461</v>
      </c>
      <c r="H3" s="2" t="inlineStr">
        <is>
          <t>GBP</t>
        </is>
      </c>
      <c r="I3" s="2" t="inlineStr">
        <is>
          <t>https://www.gov.uk/government/publications/extended-producer-responsibility-for-packaging-2025-base-fees/extended-producer-responsibility-for-packaging-2025-base-fees</t>
        </is>
      </c>
    </row>
    <row r="4">
      <c r="A4" s="2" t="inlineStr">
        <is>
          <t>UK|Glass</t>
        </is>
      </c>
      <c r="B4" s="2" t="inlineStr">
        <is>
          <t>UK</t>
        </is>
      </c>
      <c r="C4" s="2" t="inlineStr">
        <is>
          <t>UK EPR base fees 2025-26</t>
        </is>
      </c>
      <c r="D4" s="8" t="n">
        <v>2025</v>
      </c>
      <c r="E4" s="2" t="inlineStr">
        <is>
          <t>Glass</t>
        </is>
      </c>
      <c r="F4" s="2" t="inlineStr"/>
      <c r="G4" s="5" t="n">
        <v>0.192</v>
      </c>
      <c r="H4" s="2" t="inlineStr">
        <is>
          <t>GBP</t>
        </is>
      </c>
      <c r="I4" s="2" t="inlineStr">
        <is>
          <t>https://www.gov.uk/government/publications/extended-producer-responsibility-for-packaging-2025-base-fees/extended-producer-responsibility-for-packaging-2025-base-fees</t>
        </is>
      </c>
    </row>
    <row r="5">
      <c r="A5" s="2" t="inlineStr">
        <is>
          <t>UK|Paper and card</t>
        </is>
      </c>
      <c r="B5" s="2" t="inlineStr">
        <is>
          <t>UK</t>
        </is>
      </c>
      <c r="C5" s="2" t="inlineStr">
        <is>
          <t>UK EPR base fees 2025-26</t>
        </is>
      </c>
      <c r="D5" s="8" t="n">
        <v>2025</v>
      </c>
      <c r="E5" s="2" t="inlineStr">
        <is>
          <t>Paper and card</t>
        </is>
      </c>
      <c r="F5" s="2" t="inlineStr"/>
      <c r="G5" s="5" t="n">
        <v>0.196</v>
      </c>
      <c r="H5" s="2" t="inlineStr">
        <is>
          <t>GBP</t>
        </is>
      </c>
      <c r="I5" s="2" t="inlineStr">
        <is>
          <t>https://www.gov.uk/government/publications/extended-producer-responsibility-for-packaging-2025-base-fees/extended-producer-responsibility-for-packaging-2025-base-fees</t>
        </is>
      </c>
    </row>
    <row r="6">
      <c r="A6" s="2" t="inlineStr">
        <is>
          <t>UK|Plastic</t>
        </is>
      </c>
      <c r="B6" s="2" t="inlineStr">
        <is>
          <t>UK</t>
        </is>
      </c>
      <c r="C6" s="2" t="inlineStr">
        <is>
          <t>UK EPR base fees 2025-26</t>
        </is>
      </c>
      <c r="D6" s="8" t="n">
        <v>2025</v>
      </c>
      <c r="E6" s="2" t="inlineStr">
        <is>
          <t>Plastic</t>
        </is>
      </c>
      <c r="F6" s="2" t="inlineStr"/>
      <c r="G6" s="5" t="n">
        <v>0.423</v>
      </c>
      <c r="H6" s="2" t="inlineStr">
        <is>
          <t>GBP</t>
        </is>
      </c>
      <c r="I6" s="2" t="inlineStr">
        <is>
          <t>https://www.gov.uk/government/publications/extended-producer-responsibility-for-packaging-2025-base-fees/extended-producer-responsibility-for-packaging-2025-base-fees</t>
        </is>
      </c>
    </row>
    <row r="7">
      <c r="A7" s="2" t="inlineStr">
        <is>
          <t>UK|Steel</t>
        </is>
      </c>
      <c r="B7" s="2" t="inlineStr">
        <is>
          <t>UK</t>
        </is>
      </c>
      <c r="C7" s="2" t="inlineStr">
        <is>
          <t>UK EPR base fees 2025-26</t>
        </is>
      </c>
      <c r="D7" s="8" t="n">
        <v>2025</v>
      </c>
      <c r="E7" s="2" t="inlineStr">
        <is>
          <t>Steel</t>
        </is>
      </c>
      <c r="F7" s="2" t="inlineStr"/>
      <c r="G7" s="5" t="n">
        <v>0.259</v>
      </c>
      <c r="H7" s="2" t="inlineStr">
        <is>
          <t>GBP</t>
        </is>
      </c>
      <c r="I7" s="2" t="inlineStr">
        <is>
          <t>https://www.gov.uk/government/publications/extended-producer-responsibility-for-packaging-2025-base-fees/extended-producer-responsibility-for-packaging-2025-base-fees</t>
        </is>
      </c>
    </row>
    <row r="8">
      <c r="A8" s="2" t="inlineStr">
        <is>
          <t>UK|Wood</t>
        </is>
      </c>
      <c r="B8" s="2" t="inlineStr">
        <is>
          <t>UK</t>
        </is>
      </c>
      <c r="C8" s="2" t="inlineStr">
        <is>
          <t>UK EPR base fees 2025-26</t>
        </is>
      </c>
      <c r="D8" s="8" t="n">
        <v>2025</v>
      </c>
      <c r="E8" s="2" t="inlineStr">
        <is>
          <t>Wood</t>
        </is>
      </c>
      <c r="F8" s="2" t="inlineStr"/>
      <c r="G8" s="5" t="n">
        <v>0.28</v>
      </c>
      <c r="H8" s="2" t="inlineStr">
        <is>
          <t>GBP</t>
        </is>
      </c>
      <c r="I8" s="2" t="inlineStr">
        <is>
          <t>https://www.gov.uk/government/publications/extended-producer-responsibility-for-packaging-2025-base-fees/extended-producer-responsibility-for-packaging-2025-base-fees</t>
        </is>
      </c>
    </row>
    <row r="9">
      <c r="A9" s="2" t="inlineStr">
        <is>
          <t>UK|Other</t>
        </is>
      </c>
      <c r="B9" s="2" t="inlineStr">
        <is>
          <t>UK</t>
        </is>
      </c>
      <c r="C9" s="2" t="inlineStr">
        <is>
          <t>UK EPR base fees 2025-26</t>
        </is>
      </c>
      <c r="D9" s="8" t="n">
        <v>2025</v>
      </c>
      <c r="E9" s="2" t="inlineStr">
        <is>
          <t>Other</t>
        </is>
      </c>
      <c r="F9" s="2" t="inlineStr"/>
      <c r="G9" s="5" t="n">
        <v>0.259</v>
      </c>
      <c r="H9" s="2" t="inlineStr">
        <is>
          <t>GBP</t>
        </is>
      </c>
      <c r="I9" s="2" t="inlineStr">
        <is>
          <t>https://www.gov.uk/government/publications/extended-producer-responsibility-for-packaging-2025-base-fees/extended-producer-responsibility-for-packaging-2025-base-fees</t>
        </is>
      </c>
    </row>
    <row r="10">
      <c r="A10" s="2" t="inlineStr">
        <is>
          <t>NL|Glas</t>
        </is>
      </c>
      <c r="B10" s="2" t="inlineStr">
        <is>
          <t>NL</t>
        </is>
      </c>
      <c r="C10" s="2" t="inlineStr">
        <is>
          <t>Verpact tarieven</t>
        </is>
      </c>
      <c r="D10" s="8" t="n">
        <v>2025</v>
      </c>
      <c r="E10" s="2" t="inlineStr">
        <is>
          <t>Glas</t>
        </is>
      </c>
      <c r="F10" s="2" t="inlineStr"/>
      <c r="G10" s="5" t="n">
        <v>0.1</v>
      </c>
      <c r="H10" s="2" t="inlineStr">
        <is>
          <t>EUR</t>
        </is>
      </c>
      <c r="I10" s="2" t="inlineStr">
        <is>
          <t>https://www.verpact.nl/nl/tarieven</t>
        </is>
      </c>
    </row>
    <row r="11">
      <c r="A11" s="2" t="inlineStr">
        <is>
          <t>NL|Papier en karton</t>
        </is>
      </c>
      <c r="B11" s="2" t="inlineStr">
        <is>
          <t>NL</t>
        </is>
      </c>
      <c r="C11" s="2" t="inlineStr">
        <is>
          <t>Verpact tarieven</t>
        </is>
      </c>
      <c r="D11" s="8" t="n">
        <v>2025</v>
      </c>
      <c r="E11" s="2" t="inlineStr">
        <is>
          <t>Papier en karton</t>
        </is>
      </c>
      <c r="F11" s="2" t="inlineStr"/>
      <c r="G11" s="5" t="n">
        <v>0.017</v>
      </c>
      <c r="H11" s="2" t="inlineStr">
        <is>
          <t>EUR</t>
        </is>
      </c>
      <c r="I11" s="2" t="inlineStr">
        <is>
          <t>https://www.verpact.nl/nl/tarieven</t>
        </is>
      </c>
    </row>
    <row r="12">
      <c r="A12" s="2" t="inlineStr">
        <is>
          <t>NL|Plastic vormvast</t>
        </is>
      </c>
      <c r="B12" s="2" t="inlineStr">
        <is>
          <t>NL</t>
        </is>
      </c>
      <c r="C12" s="2" t="inlineStr">
        <is>
          <t>Verpact tarieven</t>
        </is>
      </c>
      <c r="D12" s="8" t="n">
        <v>2025</v>
      </c>
      <c r="E12" s="2" t="inlineStr">
        <is>
          <t>Plastic vormvast</t>
        </is>
      </c>
      <c r="F12" s="2" t="inlineStr"/>
      <c r="G12" s="5" t="n">
        <v>1.22</v>
      </c>
      <c r="H12" s="2" t="inlineStr">
        <is>
          <t>EUR</t>
        </is>
      </c>
      <c r="I12" s="2" t="inlineStr">
        <is>
          <t>https://www.verpact.nl/nl/tarieven</t>
        </is>
      </c>
    </row>
    <row r="13">
      <c r="A13" s="2" t="inlineStr">
        <is>
          <t>NL|Plastic flexibel/ niet gespecificeerd</t>
        </is>
      </c>
      <c r="B13" s="2" t="inlineStr">
        <is>
          <t>NL</t>
        </is>
      </c>
      <c r="C13" s="2" t="inlineStr">
        <is>
          <t>Verpact tarieven</t>
        </is>
      </c>
      <c r="D13" s="8" t="n">
        <v>2025</v>
      </c>
      <c r="E13" s="2" t="inlineStr">
        <is>
          <t>Plastic flexibel/ niet gespecificeerd</t>
        </is>
      </c>
      <c r="F13" s="2" t="inlineStr"/>
      <c r="G13" s="5" t="n">
        <v>1.32</v>
      </c>
      <c r="H13" s="2" t="inlineStr">
        <is>
          <t>EUR</t>
        </is>
      </c>
      <c r="I13" s="2" t="inlineStr">
        <is>
          <t>https://www.verpact.nl/nl/tarieven</t>
        </is>
      </c>
    </row>
    <row r="14">
      <c r="A14" s="2" t="inlineStr">
        <is>
          <t>NL|Aluminium</t>
        </is>
      </c>
      <c r="B14" s="2" t="inlineStr">
        <is>
          <t>NL</t>
        </is>
      </c>
      <c r="C14" s="2" t="inlineStr">
        <is>
          <t>Verpact tarieven</t>
        </is>
      </c>
      <c r="D14" s="8" t="n">
        <v>2025</v>
      </c>
      <c r="E14" s="2" t="inlineStr">
        <is>
          <t>Aluminium</t>
        </is>
      </c>
      <c r="F14" s="2" t="inlineStr"/>
      <c r="G14" s="5" t="n">
        <v>0.3</v>
      </c>
      <c r="H14" s="2" t="inlineStr">
        <is>
          <t>EUR</t>
        </is>
      </c>
      <c r="I14" s="2" t="inlineStr">
        <is>
          <t>https://www.verpact.nl/nl/tarieven</t>
        </is>
      </c>
    </row>
    <row r="15">
      <c r="A15" s="2" t="inlineStr">
        <is>
          <t>NL|Overige metalen</t>
        </is>
      </c>
      <c r="B15" s="2" t="inlineStr">
        <is>
          <t>NL</t>
        </is>
      </c>
      <c r="C15" s="2" t="inlineStr">
        <is>
          <t>Verpact tarieven</t>
        </is>
      </c>
      <c r="D15" s="8" t="n">
        <v>2025</v>
      </c>
      <c r="E15" s="2" t="inlineStr">
        <is>
          <t>Overige metalen</t>
        </is>
      </c>
      <c r="F15" s="2" t="inlineStr"/>
      <c r="G15" s="5" t="n">
        <v>0.36</v>
      </c>
      <c r="H15" s="2" t="inlineStr">
        <is>
          <t>EUR</t>
        </is>
      </c>
      <c r="I15" s="2" t="inlineStr">
        <is>
          <t>https://www.verpact.nl/nl/tarieven</t>
        </is>
      </c>
    </row>
    <row r="16">
      <c r="A16" s="2" t="inlineStr">
        <is>
          <t>NL|Hout</t>
        </is>
      </c>
      <c r="B16" s="2" t="inlineStr">
        <is>
          <t>NL</t>
        </is>
      </c>
      <c r="C16" s="2" t="inlineStr">
        <is>
          <t>Verpact tarieven</t>
        </is>
      </c>
      <c r="D16" s="8" t="n">
        <v>2025</v>
      </c>
      <c r="E16" s="2" t="inlineStr">
        <is>
          <t>Hout</t>
        </is>
      </c>
      <c r="F16" s="2" t="inlineStr"/>
      <c r="G16" s="5" t="n">
        <v>0.015</v>
      </c>
      <c r="H16" s="2" t="inlineStr">
        <is>
          <t>EUR</t>
        </is>
      </c>
      <c r="I16" s="2" t="inlineStr">
        <is>
          <t>https://www.verpact.nl/nl/tarieven</t>
        </is>
      </c>
    </row>
    <row r="17">
      <c r="A17" s="2" t="inlineStr">
        <is>
          <t>NL|Drankenkartons</t>
        </is>
      </c>
      <c r="B17" s="2" t="inlineStr">
        <is>
          <t>NL</t>
        </is>
      </c>
      <c r="C17" s="2" t="inlineStr">
        <is>
          <t>Verpact tarieven</t>
        </is>
      </c>
      <c r="D17" s="8" t="n">
        <v>2025</v>
      </c>
      <c r="E17" s="2" t="inlineStr">
        <is>
          <t>Drankenkartons</t>
        </is>
      </c>
      <c r="F17" s="2" t="inlineStr"/>
      <c r="G17" s="5" t="n">
        <v>0.88</v>
      </c>
      <c r="H17" s="2" t="inlineStr">
        <is>
          <t>EUR</t>
        </is>
      </c>
      <c r="I17" s="2" t="inlineStr">
        <is>
          <t>https://www.verpact.nl/nl/tarieven</t>
        </is>
      </c>
    </row>
    <row r="18">
      <c r="A18" s="2" t="inlineStr">
        <is>
          <t>NL|Andere materiaalsoorten</t>
        </is>
      </c>
      <c r="B18" s="2" t="inlineStr">
        <is>
          <t>NL</t>
        </is>
      </c>
      <c r="C18" s="2" t="inlineStr">
        <is>
          <t>Verpact tarieven</t>
        </is>
      </c>
      <c r="D18" s="8" t="n">
        <v>2025</v>
      </c>
      <c r="E18" s="2" t="inlineStr">
        <is>
          <t>Andere materiaalsoorten</t>
        </is>
      </c>
      <c r="F18" s="2" t="inlineStr"/>
      <c r="G18" s="5" t="n">
        <v>0.015</v>
      </c>
      <c r="H18" s="2" t="inlineStr">
        <is>
          <t>EUR</t>
        </is>
      </c>
      <c r="I18" s="2" t="inlineStr">
        <is>
          <t>https://www.verpact.nl/nl/tarieven</t>
        </is>
      </c>
    </row>
    <row r="19">
      <c r="A19" s="2" t="inlineStr">
        <is>
          <t>BE|001</t>
        </is>
      </c>
      <c r="B19" s="2" t="inlineStr">
        <is>
          <t>BE</t>
        </is>
      </c>
      <c r="C19" s="2" t="inlineStr">
        <is>
          <t>Fost Plus Green Dot rates</t>
        </is>
      </c>
      <c r="D19" s="8" t="n">
        <v>2025</v>
      </c>
      <c r="E19" s="2" t="inlineStr">
        <is>
          <t>Glass</t>
        </is>
      </c>
      <c r="F19" s="2" t="inlineStr">
        <is>
          <t>001</t>
        </is>
      </c>
      <c r="G19" s="5" t="n">
        <v>0.096</v>
      </c>
      <c r="H19" s="2" t="inlineStr">
        <is>
          <t>EUR</t>
        </is>
      </c>
      <c r="I19" s="2" t="inlineStr">
        <is>
          <t>https://www.fostplus.be/en/media/1568/download</t>
        </is>
      </c>
    </row>
    <row r="20">
      <c r="A20" s="2" t="inlineStr">
        <is>
          <t>BE|002</t>
        </is>
      </c>
      <c r="B20" s="2" t="inlineStr">
        <is>
          <t>BE</t>
        </is>
      </c>
      <c r="C20" s="2" t="inlineStr">
        <is>
          <t>Fost Plus Green Dot rates</t>
        </is>
      </c>
      <c r="D20" s="8" t="n">
        <v>2025</v>
      </c>
      <c r="E20" s="2" t="inlineStr">
        <is>
          <t>Paper-cardboard</t>
        </is>
      </c>
      <c r="F20" s="2" t="inlineStr">
        <is>
          <t>002</t>
        </is>
      </c>
      <c r="G20" s="5" t="n">
        <v>0.1503</v>
      </c>
      <c r="H20" s="2" t="inlineStr">
        <is>
          <t>EUR</t>
        </is>
      </c>
      <c r="I20" s="2" t="inlineStr">
        <is>
          <t>https://www.fostplus.be/en/media/1568/download</t>
        </is>
      </c>
    </row>
    <row r="21">
      <c r="A21" s="2" t="inlineStr">
        <is>
          <t>BE|003</t>
        </is>
      </c>
      <c r="B21" s="2" t="inlineStr">
        <is>
          <t>BE</t>
        </is>
      </c>
      <c r="C21" s="2" t="inlineStr">
        <is>
          <t>Fost Plus Green Dot rates</t>
        </is>
      </c>
      <c r="D21" s="8" t="n">
        <v>2025</v>
      </c>
      <c r="E21" s="2" t="inlineStr">
        <is>
          <t>Steel (≥ 50%)</t>
        </is>
      </c>
      <c r="F21" s="2" t="inlineStr">
        <is>
          <t>003</t>
        </is>
      </c>
      <c r="G21" s="5" t="n">
        <v>0.1117</v>
      </c>
      <c r="H21" s="2" t="inlineStr">
        <is>
          <t>EUR</t>
        </is>
      </c>
      <c r="I21" s="2" t="inlineStr">
        <is>
          <t>https://www.fostplus.be/en/media/1568/download</t>
        </is>
      </c>
    </row>
    <row r="22">
      <c r="A22" s="2" t="inlineStr">
        <is>
          <t>BE|004</t>
        </is>
      </c>
      <c r="B22" s="2" t="inlineStr">
        <is>
          <t>BE</t>
        </is>
      </c>
      <c r="C22" s="2" t="inlineStr">
        <is>
          <t>Fost Plus Green Dot rates</t>
        </is>
      </c>
      <c r="D22" s="8" t="n">
        <v>2025</v>
      </c>
      <c r="E22" s="2" t="inlineStr">
        <is>
          <t>Aluminium ≥ 50μm (≥ 50% Alu)</t>
        </is>
      </c>
      <c r="F22" s="2" t="inlineStr">
        <is>
          <t>004</t>
        </is>
      </c>
      <c r="G22" s="5" t="n">
        <v>0.0481</v>
      </c>
      <c r="H22" s="2" t="inlineStr">
        <is>
          <t>EUR</t>
        </is>
      </c>
      <c r="I22" s="2" t="inlineStr">
        <is>
          <t>https://www.fostplus.be/en/media/1568/download</t>
        </is>
      </c>
    </row>
    <row r="23">
      <c r="A23" s="2" t="inlineStr">
        <is>
          <t>BE|013</t>
        </is>
      </c>
      <c r="B23" s="2" t="inlineStr">
        <is>
          <t>BE</t>
        </is>
      </c>
      <c r="C23" s="2" t="inlineStr">
        <is>
          <t>Fost Plus Green Dot rates</t>
        </is>
      </c>
      <c r="D23" s="8" t="n">
        <v>2025</v>
      </c>
      <c r="E23" s="2" t="inlineStr">
        <is>
          <t>Aluminium &lt; 50μm (≥ 50% Alu)</t>
        </is>
      </c>
      <c r="F23" s="2" t="inlineStr">
        <is>
          <t>013</t>
        </is>
      </c>
      <c r="G23" s="5" t="n">
        <v>0.0481</v>
      </c>
      <c r="H23" s="2" t="inlineStr">
        <is>
          <t>EUR</t>
        </is>
      </c>
      <c r="I23" s="2" t="inlineStr">
        <is>
          <t>https://www.fostplus.be/en/media/1568/download</t>
        </is>
      </c>
    </row>
    <row r="24">
      <c r="A24" s="2" t="inlineStr">
        <is>
          <t>BE|008</t>
        </is>
      </c>
      <c r="B24" s="2" t="inlineStr">
        <is>
          <t>BE</t>
        </is>
      </c>
      <c r="C24" s="2" t="inlineStr">
        <is>
          <t>Fost Plus Green Dot rates</t>
        </is>
      </c>
      <c r="D24" s="8" t="n">
        <v>2025</v>
      </c>
      <c r="E24" s="2" t="inlineStr">
        <is>
          <t>Beverage cartons</t>
        </is>
      </c>
      <c r="F24" s="2" t="inlineStr">
        <is>
          <t>008</t>
        </is>
      </c>
      <c r="G24" s="5" t="n">
        <v>0.8179999999999999</v>
      </c>
      <c r="H24" s="2" t="inlineStr">
        <is>
          <t>EUR</t>
        </is>
      </c>
      <c r="I24" s="2" t="inlineStr">
        <is>
          <t>https://www.fostplus.be/en/media/1568/download</t>
        </is>
      </c>
    </row>
    <row r="25">
      <c r="A25" s="2" t="inlineStr">
        <is>
          <t>BE|016-02</t>
        </is>
      </c>
      <c r="B25" s="2" t="inlineStr">
        <is>
          <t>BE</t>
        </is>
      </c>
      <c r="C25" s="2" t="inlineStr">
        <is>
          <t>Fost Plus Green Dot rates</t>
        </is>
      </c>
      <c r="D25" s="8" t="n">
        <v>2025</v>
      </c>
      <c r="E25" s="2" t="inlineStr">
        <is>
          <t>Cork</t>
        </is>
      </c>
      <c r="F25" s="2" t="inlineStr">
        <is>
          <t>016-02</t>
        </is>
      </c>
      <c r="G25" s="5" t="n">
        <v>0.5855</v>
      </c>
      <c r="H25" s="2" t="inlineStr">
        <is>
          <t>EUR</t>
        </is>
      </c>
      <c r="I25" s="2" t="inlineStr">
        <is>
          <t>https://www.fostplus.be/en/media/1568/download</t>
        </is>
      </c>
    </row>
    <row r="26">
      <c r="A26" s="2" t="inlineStr">
        <is>
          <t>BE|005-01</t>
        </is>
      </c>
      <c r="B26" s="2" t="inlineStr">
        <is>
          <t>BE</t>
        </is>
      </c>
      <c r="C26" s="2" t="inlineStr">
        <is>
          <t>Fost Plus Green Dot rates</t>
        </is>
      </c>
      <c r="D26" s="8" t="n">
        <v>2025</v>
      </c>
      <c r="E26" s="2" t="inlineStr">
        <is>
          <t>PET – Bottles and flasks - Transparent colourless</t>
        </is>
      </c>
      <c r="F26" s="2" t="inlineStr">
        <is>
          <t>005-01</t>
        </is>
      </c>
      <c r="G26" s="5" t="n">
        <v>0.2718</v>
      </c>
      <c r="H26" s="2" t="inlineStr">
        <is>
          <t>EUR</t>
        </is>
      </c>
      <c r="I26" s="2" t="inlineStr">
        <is>
          <t>https://www.fostplus.be/en/media/1568/download</t>
        </is>
      </c>
    </row>
    <row r="27">
      <c r="A27" s="2" t="inlineStr">
        <is>
          <t>BE|005-02</t>
        </is>
      </c>
      <c r="B27" s="2" t="inlineStr">
        <is>
          <t>BE</t>
        </is>
      </c>
      <c r="C27" s="2" t="inlineStr">
        <is>
          <t>Fost Plus Green Dot rates</t>
        </is>
      </c>
      <c r="D27" s="8" t="n">
        <v>2025</v>
      </c>
      <c r="E27" s="2" t="inlineStr">
        <is>
          <t>PET – Bottles and flasks - Transparent blue</t>
        </is>
      </c>
      <c r="F27" s="2" t="inlineStr">
        <is>
          <t>005-02</t>
        </is>
      </c>
      <c r="G27" s="5" t="n">
        <v>0.7252</v>
      </c>
      <c r="H27" s="2" t="inlineStr">
        <is>
          <t>EUR</t>
        </is>
      </c>
      <c r="I27" s="2" t="inlineStr">
        <is>
          <t>https://www.fostplus.be/en/media/1568/download</t>
        </is>
      </c>
    </row>
    <row r="28">
      <c r="A28" s="2" t="inlineStr">
        <is>
          <t>BE|005-03</t>
        </is>
      </c>
      <c r="B28" s="2" t="inlineStr">
        <is>
          <t>BE</t>
        </is>
      </c>
      <c r="C28" s="2" t="inlineStr">
        <is>
          <t>Fost Plus Green Dot rates</t>
        </is>
      </c>
      <c r="D28" s="8" t="n">
        <v>2025</v>
      </c>
      <c r="E28" s="2" t="inlineStr">
        <is>
          <t>PET – Bottles and flasks - Transparent – other than colourless and blue</t>
        </is>
      </c>
      <c r="F28" s="2" t="inlineStr">
        <is>
          <t>005-03</t>
        </is>
      </c>
      <c r="G28" s="5" t="n">
        <v>1.0527</v>
      </c>
      <c r="H28" s="2" t="inlineStr">
        <is>
          <t>EUR</t>
        </is>
      </c>
      <c r="I28" s="2" t="inlineStr">
        <is>
          <t>https://www.fostplus.be/en/media/1568/download</t>
        </is>
      </c>
    </row>
    <row r="29">
      <c r="A29" s="2" t="inlineStr">
        <is>
          <t>BE|011-06</t>
        </is>
      </c>
      <c r="B29" s="2" t="inlineStr">
        <is>
          <t>BE</t>
        </is>
      </c>
      <c r="C29" s="2" t="inlineStr">
        <is>
          <t>Fost Plus Green Dot rates</t>
        </is>
      </c>
      <c r="D29" s="8" t="n">
        <v>2025</v>
      </c>
      <c r="E29" s="2" t="inlineStr">
        <is>
          <t>PET – Bottles and flasks – Opaque</t>
        </is>
      </c>
      <c r="F29" s="2" t="inlineStr">
        <is>
          <t>011-06</t>
        </is>
      </c>
      <c r="G29" s="5" t="n">
        <v>1.3893</v>
      </c>
      <c r="H29" s="2" t="inlineStr">
        <is>
          <t>EUR</t>
        </is>
      </c>
      <c r="I29" s="2" t="inlineStr">
        <is>
          <t>https://www.fostplus.be/en/media/1568/download</t>
        </is>
      </c>
    </row>
    <row r="30">
      <c r="A30" s="2" t="inlineStr">
        <is>
          <t>BE|011-05-A</t>
        </is>
      </c>
      <c r="B30" s="2" t="inlineStr">
        <is>
          <t>BE</t>
        </is>
      </c>
      <c r="C30" s="2" t="inlineStr">
        <is>
          <t>Fost Plus Green Dot rates</t>
        </is>
      </c>
      <c r="D30" s="8" t="n">
        <v>2025</v>
      </c>
      <c r="E30" s="2" t="inlineStr">
        <is>
          <t>PET (mono) – Hard packaging elements other than bottles and flasks - Transparent</t>
        </is>
      </c>
      <c r="F30" s="2" t="inlineStr">
        <is>
          <t>011-05-A</t>
        </is>
      </c>
      <c r="G30" s="5" t="n">
        <v>1.1244</v>
      </c>
      <c r="H30" s="2" t="inlineStr">
        <is>
          <t>EUR</t>
        </is>
      </c>
      <c r="I30" s="2" t="inlineStr">
        <is>
          <t>https://www.fostplus.be/en/media/1568/download</t>
        </is>
      </c>
    </row>
    <row r="31">
      <c r="A31" s="2" t="inlineStr">
        <is>
          <t>BE|011-05</t>
        </is>
      </c>
      <c r="B31" s="2" t="inlineStr">
        <is>
          <t>BE</t>
        </is>
      </c>
      <c r="C31" s="2" t="inlineStr">
        <is>
          <t>Fost Plus Green Dot rates</t>
        </is>
      </c>
      <c r="D31" s="8" t="n">
        <v>2025</v>
      </c>
      <c r="E31" s="2" t="inlineStr">
        <is>
          <t>PET (multi) – Hard packaging elements other than bottles and flasks - Transparent</t>
        </is>
      </c>
      <c r="F31" s="2" t="inlineStr">
        <is>
          <t>011-05</t>
        </is>
      </c>
      <c r="G31" s="5" t="n">
        <v>1.1244</v>
      </c>
      <c r="H31" s="2" t="inlineStr">
        <is>
          <t>EUR</t>
        </is>
      </c>
      <c r="I31" s="2" t="inlineStr">
        <is>
          <t>https://www.fostplus.be/en/media/1568/download</t>
        </is>
      </c>
    </row>
    <row r="32">
      <c r="A32" s="2" t="inlineStr">
        <is>
          <t>BE|011-08</t>
        </is>
      </c>
      <c r="B32" s="2" t="inlineStr">
        <is>
          <t>BE</t>
        </is>
      </c>
      <c r="C32" s="2" t="inlineStr">
        <is>
          <t>Fost Plus Green Dot rates</t>
        </is>
      </c>
      <c r="D32" s="8" t="n">
        <v>2025</v>
      </c>
      <c r="E32" s="2" t="inlineStr">
        <is>
          <t>PET – Hard packaging elements other than bottles and flasks - Opaque</t>
        </is>
      </c>
      <c r="F32" s="2" t="inlineStr">
        <is>
          <t>011-08</t>
        </is>
      </c>
      <c r="G32" s="5" t="n">
        <v>1.7609</v>
      </c>
      <c r="H32" s="2" t="inlineStr">
        <is>
          <t>EUR</t>
        </is>
      </c>
      <c r="I32" s="2" t="inlineStr">
        <is>
          <t>https://www.fostplus.be/en/media/1568/download</t>
        </is>
      </c>
    </row>
    <row r="33">
      <c r="A33" s="2" t="inlineStr">
        <is>
          <t>BE|011-01</t>
        </is>
      </c>
      <c r="B33" s="2" t="inlineStr">
        <is>
          <t>BE</t>
        </is>
      </c>
      <c r="C33" s="2" t="inlineStr">
        <is>
          <t>Fost Plus Green Dot rates</t>
        </is>
      </c>
      <c r="D33" s="8" t="n">
        <v>2025</v>
      </c>
      <c r="E33" s="2" t="inlineStr">
        <is>
          <t>PP – Bottles, flasks and other rigid packaging</t>
        </is>
      </c>
      <c r="F33" s="2" t="inlineStr">
        <is>
          <t>011-01</t>
        </is>
      </c>
      <c r="G33" s="5" t="n">
        <v>0.8048999999999999</v>
      </c>
      <c r="H33" s="2" t="inlineStr">
        <is>
          <t>EUR</t>
        </is>
      </c>
      <c r="I33" s="2" t="inlineStr">
        <is>
          <t>https://www.fostplus.be/en/media/1568/download</t>
        </is>
      </c>
    </row>
    <row r="34">
      <c r="A34" s="2" t="inlineStr">
        <is>
          <t>BE|011-02</t>
        </is>
      </c>
      <c r="B34" s="2" t="inlineStr">
        <is>
          <t>BE</t>
        </is>
      </c>
      <c r="C34" s="2" t="inlineStr">
        <is>
          <t>Fost Plus Green Dot rates</t>
        </is>
      </c>
      <c r="D34" s="8" t="n">
        <v>2025</v>
      </c>
      <c r="E34" s="2" t="inlineStr">
        <is>
          <t>PS &amp; XPS – Hard packaging, except for EPS</t>
        </is>
      </c>
      <c r="F34" s="2" t="inlineStr">
        <is>
          <t>011-02</t>
        </is>
      </c>
      <c r="G34" s="5" t="n">
        <v>0.9195</v>
      </c>
      <c r="H34" s="2" t="inlineStr">
        <is>
          <t>EUR</t>
        </is>
      </c>
      <c r="I34" s="2" t="inlineStr">
        <is>
          <t>https://www.fostplus.be/en/media/1568/download</t>
        </is>
      </c>
    </row>
    <row r="35">
      <c r="A35" s="2" t="inlineStr">
        <is>
          <t>BE|014-01</t>
        </is>
      </c>
      <c r="B35" s="2" t="inlineStr">
        <is>
          <t>BE</t>
        </is>
      </c>
      <c r="C35" s="2" t="inlineStr">
        <is>
          <t>Fost Plus Green Dot rates</t>
        </is>
      </c>
      <c r="D35" s="8" t="n">
        <v>2025</v>
      </c>
      <c r="E35" s="2" t="inlineStr">
        <is>
          <t>EPS</t>
        </is>
      </c>
      <c r="F35" s="2" t="inlineStr">
        <is>
          <t>014-01</t>
        </is>
      </c>
      <c r="G35" s="5" t="n">
        <v>0.5855</v>
      </c>
      <c r="H35" s="2" t="inlineStr">
        <is>
          <t>EUR</t>
        </is>
      </c>
      <c r="I35" s="2" t="inlineStr">
        <is>
          <t>https://www.fostplus.be/en/media/1568/download</t>
        </is>
      </c>
    </row>
    <row r="36">
      <c r="A36" s="2" t="inlineStr">
        <is>
          <t>BE|011-03</t>
        </is>
      </c>
      <c r="B36" s="2" t="inlineStr">
        <is>
          <t>BE</t>
        </is>
      </c>
      <c r="C36" s="2" t="inlineStr">
        <is>
          <t>Fost Plus Green Dot rates</t>
        </is>
      </c>
      <c r="D36" s="8" t="n">
        <v>2025</v>
      </c>
      <c r="E36" s="2" t="inlineStr">
        <is>
          <t>PE – Bottles, flasks and other hard packaging</t>
        </is>
      </c>
      <c r="F36" s="2" t="inlineStr">
        <is>
          <t>011-03</t>
        </is>
      </c>
      <c r="G36" s="5" t="n">
        <v>0.515</v>
      </c>
      <c r="H36" s="2" t="inlineStr">
        <is>
          <t>EUR</t>
        </is>
      </c>
      <c r="I36" s="2" t="inlineStr">
        <is>
          <t>https://www.fostplus.be/en/media/1568/download</t>
        </is>
      </c>
    </row>
    <row r="37">
      <c r="A37" s="2" t="inlineStr">
        <is>
          <t>BE|011-07</t>
        </is>
      </c>
      <c r="B37" s="2" t="inlineStr">
        <is>
          <t>BE</t>
        </is>
      </c>
      <c r="C37" s="2" t="inlineStr">
        <is>
          <t>Fost Plus Green Dot rates</t>
        </is>
      </c>
      <c r="D37" s="8" t="n">
        <v>2025</v>
      </c>
      <c r="E37" s="2" t="inlineStr">
        <is>
          <t>PE – Films</t>
        </is>
      </c>
      <c r="F37" s="2" t="inlineStr">
        <is>
          <t>011-07</t>
        </is>
      </c>
      <c r="G37" s="5" t="n">
        <v>1.2844</v>
      </c>
      <c r="H37" s="2" t="inlineStr">
        <is>
          <t>EUR</t>
        </is>
      </c>
      <c r="I37" s="2" t="inlineStr">
        <is>
          <t>https://www.fostplus.be/en/media/1568/download</t>
        </is>
      </c>
    </row>
    <row r="38">
      <c r="A38" s="2" t="inlineStr">
        <is>
          <t>BE|011-09-A</t>
        </is>
      </c>
      <c r="B38" s="2" t="inlineStr">
        <is>
          <t>BE</t>
        </is>
      </c>
      <c r="C38" s="2" t="inlineStr">
        <is>
          <t>Fost Plus Green Dot rates</t>
        </is>
      </c>
      <c r="D38" s="8" t="n">
        <v>2025</v>
      </c>
      <c r="E38" s="2" t="inlineStr">
        <is>
          <t>PP – Films</t>
        </is>
      </c>
      <c r="F38" s="2" t="inlineStr">
        <is>
          <t>011-09-A</t>
        </is>
      </c>
      <c r="G38" s="5" t="n">
        <v>1.9546</v>
      </c>
      <c r="H38" s="2" t="inlineStr">
        <is>
          <t>EUR</t>
        </is>
      </c>
      <c r="I38" s="2" t="inlineStr">
        <is>
          <t>https://www.fostplus.be/en/media/1568/download</t>
        </is>
      </c>
    </row>
    <row r="39">
      <c r="A39" s="2" t="inlineStr">
        <is>
          <t>BE|011-09</t>
        </is>
      </c>
      <c r="B39" s="2" t="inlineStr">
        <is>
          <t>BE</t>
        </is>
      </c>
      <c r="C39" s="2" t="inlineStr">
        <is>
          <t>Fost Plus Green Dot rates</t>
        </is>
      </c>
      <c r="D39" s="8" t="n">
        <v>2025</v>
      </c>
      <c r="E39" s="2" t="inlineStr">
        <is>
          <t>Other plastic films</t>
        </is>
      </c>
      <c r="F39" s="2" t="inlineStr">
        <is>
          <t>011-09</t>
        </is>
      </c>
      <c r="G39" s="5" t="n">
        <v>1.9546</v>
      </c>
      <c r="H39" s="2" t="inlineStr">
        <is>
          <t>EUR</t>
        </is>
      </c>
      <c r="I39" s="2" t="inlineStr">
        <is>
          <t>https://www.fostplus.be/en/media/1568/download</t>
        </is>
      </c>
    </row>
    <row r="40">
      <c r="A40" s="2" t="inlineStr">
        <is>
          <t>BE|014-02</t>
        </is>
      </c>
      <c r="B40" s="2" t="inlineStr">
        <is>
          <t>BE</t>
        </is>
      </c>
      <c r="C40" s="2" t="inlineStr">
        <is>
          <t>Fost Plus Green Dot rates</t>
        </is>
      </c>
      <c r="D40" s="8" t="n">
        <v>2025</v>
      </c>
      <c r="E40" s="2" t="inlineStr">
        <is>
          <t>Compostable and biodegradable plastic packaging</t>
        </is>
      </c>
      <c r="F40" s="2" t="inlineStr">
        <is>
          <t>014-02</t>
        </is>
      </c>
      <c r="G40" s="5" t="n">
        <v>3.9092</v>
      </c>
      <c r="H40" s="2" t="inlineStr">
        <is>
          <t>EUR</t>
        </is>
      </c>
      <c r="I40" s="2" t="inlineStr">
        <is>
          <t>https://www.fostplus.be/en/media/1568/download</t>
        </is>
      </c>
    </row>
    <row r="41">
      <c r="A41" s="2" t="inlineStr">
        <is>
          <t>BE|014-03</t>
        </is>
      </c>
      <c r="B41" s="2" t="inlineStr">
        <is>
          <t>BE</t>
        </is>
      </c>
      <c r="C41" s="2" t="inlineStr">
        <is>
          <t>Fost Plus Green Dot rates</t>
        </is>
      </c>
      <c r="D41" s="8" t="n">
        <v>2025</v>
      </c>
      <c r="E41" s="2" t="inlineStr">
        <is>
          <t>Other plastic packaging – whether or not composite – where plastic accounts for the greatest weight</t>
        </is>
      </c>
      <c r="F41" s="2" t="inlineStr">
        <is>
          <t>014-03</t>
        </is>
      </c>
      <c r="G41" s="5" t="n">
        <v>3.9092</v>
      </c>
      <c r="H41" s="2" t="inlineStr">
        <is>
          <t>EUR</t>
        </is>
      </c>
      <c r="I41" s="2" t="inlineStr">
        <is>
          <t>https://www.fostplus.be/en/media/1568/download</t>
        </is>
      </c>
    </row>
    <row r="42">
      <c r="A42" s="2" t="inlineStr">
        <is>
          <t>BE|012</t>
        </is>
      </c>
      <c r="B42" s="2" t="inlineStr">
        <is>
          <t>BE</t>
        </is>
      </c>
      <c r="C42" s="2" t="inlineStr">
        <is>
          <t>Fost Plus Green Dot rates</t>
        </is>
      </c>
      <c r="D42" s="8" t="n">
        <v>2025</v>
      </c>
      <c r="E42" s="2" t="inlineStr">
        <is>
          <t>Composite materials in which paper-cardboard accounts for the greatest weight</t>
        </is>
      </c>
      <c r="F42" s="2" t="inlineStr">
        <is>
          <t>012</t>
        </is>
      </c>
      <c r="G42" s="5" t="n">
        <v>3.9092</v>
      </c>
      <c r="H42" s="2" t="inlineStr">
        <is>
          <t>EUR</t>
        </is>
      </c>
      <c r="I42" s="2" t="inlineStr">
        <is>
          <t>https://www.fostplus.be/en/media/1568/download</t>
        </is>
      </c>
    </row>
    <row r="43">
      <c r="A43" s="2" t="inlineStr">
        <is>
          <t>BE|016-01</t>
        </is>
      </c>
      <c r="B43" s="2" t="inlineStr">
        <is>
          <t>BE</t>
        </is>
      </c>
      <c r="C43" s="2" t="inlineStr">
        <is>
          <t>Fost Plus Green Dot rates</t>
        </is>
      </c>
      <c r="D43" s="8" t="n">
        <v>2025</v>
      </c>
      <c r="E43" s="2" t="inlineStr">
        <is>
          <t>Wood</t>
        </is>
      </c>
      <c r="F43" s="2" t="inlineStr">
        <is>
          <t>016-01</t>
        </is>
      </c>
      <c r="G43" s="5" t="n">
        <v>3.9092</v>
      </c>
      <c r="H43" s="2" t="inlineStr">
        <is>
          <t>EUR</t>
        </is>
      </c>
      <c r="I43" s="2" t="inlineStr">
        <is>
          <t>https://www.fostplus.be/en/media/1568/download</t>
        </is>
      </c>
    </row>
    <row r="44">
      <c r="A44" s="2" t="inlineStr">
        <is>
          <t>BE|016-03</t>
        </is>
      </c>
      <c r="B44" s="2" t="inlineStr">
        <is>
          <t>BE</t>
        </is>
      </c>
      <c r="C44" s="2" t="inlineStr">
        <is>
          <t>Fost Plus Green Dot rates</t>
        </is>
      </c>
      <c r="D44" s="8" t="n">
        <v>2025</v>
      </c>
      <c r="E44" s="2" t="inlineStr">
        <is>
          <t>Other valorised packaging (textile, rubber, etc.)</t>
        </is>
      </c>
      <c r="F44" s="2" t="inlineStr">
        <is>
          <t>016-03</t>
        </is>
      </c>
      <c r="G44" s="5" t="n">
        <v>3.9092</v>
      </c>
      <c r="H44" s="2" t="inlineStr">
        <is>
          <t>EUR</t>
        </is>
      </c>
      <c r="I44" s="2" t="inlineStr">
        <is>
          <t>https://www.fostplus.be/en/media/1568/download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2025-12-21T20:10:12Z</dcterms:created>
  <dcterms:modified xmlns:dcterms="http://purl.org/dc/terms/" xmlns:xsi="http://www.w3.org/2001/XMLSchema-instance" xsi:type="dcterms:W3CDTF">2025-12-21T20:20:51Z</dcterms:modified>
</cp:coreProperties>
</file>